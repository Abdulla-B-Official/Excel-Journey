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bdul\Git_uploads\"/>
    </mc:Choice>
  </mc:AlternateContent>
  <xr:revisionPtr revIDLastSave="0" documentId="13_ncr:1_{DE297BBA-D337-47D9-8018-6517CB5A9316}" xr6:coauthVersionLast="47" xr6:coauthVersionMax="47" xr10:uidLastSave="{00000000-0000-0000-0000-000000000000}"/>
  <bookViews>
    <workbookView xWindow="5325" yWindow="2490" windowWidth="21600" windowHeight="11295" firstSheet="2" activeTab="10" xr2:uid="{E7AE275C-B9D0-4198-BCDF-1F697D7F1A60}"/>
  </bookViews>
  <sheets>
    <sheet name="data" sheetId="1" r:id="rId1"/>
    <sheet name="data1" sheetId="2" r:id="rId2"/>
    <sheet name="data2" sheetId="3" r:id="rId3"/>
    <sheet name="data3" sheetId="4" r:id="rId4"/>
    <sheet name="data4" sheetId="5" r:id="rId5"/>
    <sheet name="data5" sheetId="6" r:id="rId6"/>
    <sheet name="data6" sheetId="7" r:id="rId7"/>
    <sheet name="data7" sheetId="8" r:id="rId8"/>
    <sheet name="data 8" sheetId="29" r:id="rId9"/>
    <sheet name="data9" sheetId="31" r:id="rId10"/>
    <sheet name="data10" sheetId="32" r:id="rId11"/>
  </sheets>
  <definedNames>
    <definedName name="_xlchart.v1.0" hidden="1">data6!$N$3:$N$302</definedName>
    <definedName name="_xlchart.v1.1" hidden="1">data6!$P$3:$P$302</definedName>
    <definedName name="_xlcn.WorksheetConnection_1stSpreadsheet.xlsxData" hidden="1">Data[]</definedName>
    <definedName name="_xlcn.WorksheetConnection_1stSpreadsheet.xlsxData9" hidden="1">Data9</definedName>
    <definedName name="Slicer_Geography">#N/A</definedName>
    <definedName name="Slicer_Geography1">#N/A</definedName>
    <definedName name="Slicer_Sales_Person">#N/A</definedName>
  </definedNames>
  <calcPr calcId="191029"/>
  <pivotCaches>
    <pivotCache cacheId="0" r:id="rId12"/>
    <pivotCache cacheId="1" r:id="rId13"/>
    <pivotCache cacheId="2" r:id="rId14"/>
    <pivotCache cacheId="3" r:id="rId15"/>
    <pivotCache cacheId="4" r:id="rId16"/>
  </pivotCaches>
  <extLst>
    <ext xmlns:x14="http://schemas.microsoft.com/office/spreadsheetml/2009/9/main" uri="{876F7934-8845-4945-9796-88D515C7AA90}">
      <x14:pivotCaches>
        <pivotCache cacheId="5"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9" name="Data9" connection="WorksheetConnection_1stSpreadsheet.xlsx!Data9"/>
          <x15:modelTable id="Data" name="Data" connection="WorksheetConnection_1stSpreadsheet.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9" i="31" l="1"/>
  <c r="K10" i="31"/>
  <c r="K11" i="31"/>
  <c r="K12" i="31"/>
  <c r="K13" i="31"/>
  <c r="K14" i="31"/>
  <c r="K15" i="31"/>
  <c r="K16" i="31"/>
  <c r="K8" i="31"/>
  <c r="K7" i="31"/>
  <c r="J7" i="31"/>
  <c r="L7" i="31" s="1"/>
  <c r="J10" i="31"/>
  <c r="L10" i="31" s="1"/>
  <c r="J11" i="31"/>
  <c r="L11" i="31" s="1"/>
  <c r="J12" i="31"/>
  <c r="L12" i="31" s="1"/>
  <c r="J13" i="31"/>
  <c r="L13" i="31" s="1"/>
  <c r="J14" i="31"/>
  <c r="L14" i="31" s="1"/>
  <c r="J15" i="31"/>
  <c r="L15" i="31" s="1"/>
  <c r="J16" i="31"/>
  <c r="L16" i="31" s="1"/>
  <c r="J9" i="31"/>
  <c r="L9" i="31" s="1"/>
  <c r="J8" i="31"/>
  <c r="L8" i="31" s="1"/>
  <c r="G6" i="31"/>
  <c r="F9" i="31"/>
  <c r="G9" i="31"/>
  <c r="F12" i="31"/>
  <c r="G12" i="31"/>
  <c r="J300" i="1" l="1"/>
  <c r="I3" i="1"/>
  <c r="J3" i="1" s="1"/>
  <c r="I4" i="1"/>
  <c r="J4" i="1" s="1"/>
  <c r="I5" i="1"/>
  <c r="J5" i="1" s="1"/>
  <c r="I6" i="1"/>
  <c r="J6" i="1" s="1"/>
  <c r="I7" i="1"/>
  <c r="J7" i="1" s="1"/>
  <c r="I8" i="1"/>
  <c r="J8" i="1" s="1"/>
  <c r="I9" i="1"/>
  <c r="J9" i="1" s="1"/>
  <c r="I10" i="1"/>
  <c r="J10" i="1" s="1"/>
  <c r="I11" i="1"/>
  <c r="J11" i="1" s="1"/>
  <c r="I12" i="1"/>
  <c r="J12" i="1" s="1"/>
  <c r="I13" i="1"/>
  <c r="J13" i="1" s="1"/>
  <c r="I14" i="1"/>
  <c r="J14" i="1" s="1"/>
  <c r="I15" i="1"/>
  <c r="J15" i="1" s="1"/>
  <c r="I16" i="1"/>
  <c r="J16" i="1" s="1"/>
  <c r="I17" i="1"/>
  <c r="J17" i="1" s="1"/>
  <c r="I18" i="1"/>
  <c r="J18" i="1" s="1"/>
  <c r="I19" i="1"/>
  <c r="J19" i="1" s="1"/>
  <c r="I20" i="1"/>
  <c r="J20" i="1" s="1"/>
  <c r="I21" i="1"/>
  <c r="J21" i="1" s="1"/>
  <c r="I22" i="1"/>
  <c r="J22" i="1" s="1"/>
  <c r="I23" i="1"/>
  <c r="J23" i="1" s="1"/>
  <c r="I24" i="1"/>
  <c r="J24" i="1" s="1"/>
  <c r="I25" i="1"/>
  <c r="J25" i="1" s="1"/>
  <c r="I26" i="1"/>
  <c r="J26" i="1" s="1"/>
  <c r="I27" i="1"/>
  <c r="J27" i="1" s="1"/>
  <c r="I28" i="1"/>
  <c r="J28" i="1" s="1"/>
  <c r="I29" i="1"/>
  <c r="J29" i="1" s="1"/>
  <c r="I30" i="1"/>
  <c r="J30" i="1" s="1"/>
  <c r="I31" i="1"/>
  <c r="J31" i="1" s="1"/>
  <c r="I32" i="1"/>
  <c r="J32" i="1" s="1"/>
  <c r="I33" i="1"/>
  <c r="J33" i="1" s="1"/>
  <c r="I34" i="1"/>
  <c r="J34" i="1" s="1"/>
  <c r="I35" i="1"/>
  <c r="J35" i="1" s="1"/>
  <c r="I36" i="1"/>
  <c r="J36" i="1" s="1"/>
  <c r="I37" i="1"/>
  <c r="J37" i="1" s="1"/>
  <c r="I38" i="1"/>
  <c r="J38" i="1" s="1"/>
  <c r="I39" i="1"/>
  <c r="J39" i="1" s="1"/>
  <c r="I40" i="1"/>
  <c r="J40" i="1" s="1"/>
  <c r="I41" i="1"/>
  <c r="J41" i="1" s="1"/>
  <c r="I42" i="1"/>
  <c r="J42" i="1" s="1"/>
  <c r="I43" i="1"/>
  <c r="J43" i="1" s="1"/>
  <c r="I44" i="1"/>
  <c r="J44" i="1" s="1"/>
  <c r="I45" i="1"/>
  <c r="J45" i="1" s="1"/>
  <c r="I46" i="1"/>
  <c r="J46" i="1" s="1"/>
  <c r="I47" i="1"/>
  <c r="J47" i="1" s="1"/>
  <c r="I48" i="1"/>
  <c r="J48" i="1" s="1"/>
  <c r="I49" i="1"/>
  <c r="J49" i="1" s="1"/>
  <c r="I50" i="1"/>
  <c r="J50" i="1" s="1"/>
  <c r="I51" i="1"/>
  <c r="J51" i="1" s="1"/>
  <c r="I52" i="1"/>
  <c r="J52" i="1" s="1"/>
  <c r="I53" i="1"/>
  <c r="J53" i="1" s="1"/>
  <c r="I54" i="1"/>
  <c r="J54" i="1" s="1"/>
  <c r="I55" i="1"/>
  <c r="J55" i="1" s="1"/>
  <c r="I56" i="1"/>
  <c r="J56" i="1" s="1"/>
  <c r="I57" i="1"/>
  <c r="J57" i="1" s="1"/>
  <c r="I58" i="1"/>
  <c r="J58" i="1" s="1"/>
  <c r="I59" i="1"/>
  <c r="J59" i="1" s="1"/>
  <c r="I60" i="1"/>
  <c r="J60" i="1" s="1"/>
  <c r="I61" i="1"/>
  <c r="J61" i="1" s="1"/>
  <c r="I62" i="1"/>
  <c r="J62" i="1" s="1"/>
  <c r="I63" i="1"/>
  <c r="J63" i="1" s="1"/>
  <c r="I64" i="1"/>
  <c r="J64" i="1" s="1"/>
  <c r="I65" i="1"/>
  <c r="J65" i="1" s="1"/>
  <c r="I66" i="1"/>
  <c r="J66" i="1" s="1"/>
  <c r="I67" i="1"/>
  <c r="J67" i="1" s="1"/>
  <c r="I68" i="1"/>
  <c r="J68" i="1" s="1"/>
  <c r="I69" i="1"/>
  <c r="J69" i="1" s="1"/>
  <c r="I70" i="1"/>
  <c r="J70" i="1" s="1"/>
  <c r="I71" i="1"/>
  <c r="J71" i="1" s="1"/>
  <c r="I72" i="1"/>
  <c r="J72" i="1" s="1"/>
  <c r="I73" i="1"/>
  <c r="J73" i="1" s="1"/>
  <c r="I74" i="1"/>
  <c r="J74" i="1" s="1"/>
  <c r="I75" i="1"/>
  <c r="J75" i="1" s="1"/>
  <c r="I76" i="1"/>
  <c r="J76" i="1" s="1"/>
  <c r="I77" i="1"/>
  <c r="J77" i="1" s="1"/>
  <c r="I78" i="1"/>
  <c r="J78" i="1" s="1"/>
  <c r="I79" i="1"/>
  <c r="J79" i="1" s="1"/>
  <c r="I80" i="1"/>
  <c r="J80" i="1" s="1"/>
  <c r="I81" i="1"/>
  <c r="J81" i="1" s="1"/>
  <c r="I82" i="1"/>
  <c r="J82" i="1" s="1"/>
  <c r="I83" i="1"/>
  <c r="J83" i="1" s="1"/>
  <c r="I84" i="1"/>
  <c r="J84" i="1" s="1"/>
  <c r="I85" i="1"/>
  <c r="J85" i="1" s="1"/>
  <c r="I86" i="1"/>
  <c r="J86" i="1" s="1"/>
  <c r="I87" i="1"/>
  <c r="J87" i="1" s="1"/>
  <c r="I88" i="1"/>
  <c r="J88" i="1" s="1"/>
  <c r="I89" i="1"/>
  <c r="J89" i="1" s="1"/>
  <c r="I90" i="1"/>
  <c r="J90" i="1" s="1"/>
  <c r="I91" i="1"/>
  <c r="J91" i="1" s="1"/>
  <c r="I92" i="1"/>
  <c r="J92" i="1" s="1"/>
  <c r="I93" i="1"/>
  <c r="J93" i="1" s="1"/>
  <c r="I94" i="1"/>
  <c r="J94" i="1" s="1"/>
  <c r="I95" i="1"/>
  <c r="J95" i="1" s="1"/>
  <c r="I96" i="1"/>
  <c r="J96" i="1" s="1"/>
  <c r="I97" i="1"/>
  <c r="J97" i="1" s="1"/>
  <c r="I98" i="1"/>
  <c r="J98" i="1" s="1"/>
  <c r="I99" i="1"/>
  <c r="J99" i="1" s="1"/>
  <c r="I100" i="1"/>
  <c r="J100" i="1" s="1"/>
  <c r="I101" i="1"/>
  <c r="J101" i="1" s="1"/>
  <c r="I102" i="1"/>
  <c r="J102" i="1" s="1"/>
  <c r="I103" i="1"/>
  <c r="J103" i="1" s="1"/>
  <c r="I104" i="1"/>
  <c r="J104" i="1" s="1"/>
  <c r="I105" i="1"/>
  <c r="J105" i="1" s="1"/>
  <c r="I106" i="1"/>
  <c r="J106" i="1" s="1"/>
  <c r="I107" i="1"/>
  <c r="J107" i="1" s="1"/>
  <c r="I108" i="1"/>
  <c r="J108" i="1" s="1"/>
  <c r="I109" i="1"/>
  <c r="J109" i="1" s="1"/>
  <c r="I110" i="1"/>
  <c r="J110" i="1" s="1"/>
  <c r="I111" i="1"/>
  <c r="J111" i="1" s="1"/>
  <c r="I112" i="1"/>
  <c r="J112" i="1" s="1"/>
  <c r="I113" i="1"/>
  <c r="J113" i="1" s="1"/>
  <c r="I114" i="1"/>
  <c r="J114" i="1" s="1"/>
  <c r="I115" i="1"/>
  <c r="J115" i="1" s="1"/>
  <c r="I116" i="1"/>
  <c r="J116" i="1" s="1"/>
  <c r="I117" i="1"/>
  <c r="J117" i="1" s="1"/>
  <c r="I118" i="1"/>
  <c r="J118" i="1" s="1"/>
  <c r="I119" i="1"/>
  <c r="J119" i="1" s="1"/>
  <c r="I120" i="1"/>
  <c r="J120" i="1" s="1"/>
  <c r="I121" i="1"/>
  <c r="J121" i="1" s="1"/>
  <c r="I122" i="1"/>
  <c r="J122" i="1" s="1"/>
  <c r="I123" i="1"/>
  <c r="J123" i="1" s="1"/>
  <c r="I124" i="1"/>
  <c r="J124" i="1" s="1"/>
  <c r="I125" i="1"/>
  <c r="J125" i="1" s="1"/>
  <c r="I126" i="1"/>
  <c r="J126" i="1" s="1"/>
  <c r="I127" i="1"/>
  <c r="J127" i="1" s="1"/>
  <c r="I128" i="1"/>
  <c r="J128" i="1" s="1"/>
  <c r="I129" i="1"/>
  <c r="J129" i="1" s="1"/>
  <c r="I130" i="1"/>
  <c r="J130" i="1" s="1"/>
  <c r="I131" i="1"/>
  <c r="J131" i="1" s="1"/>
  <c r="I132" i="1"/>
  <c r="J132" i="1" s="1"/>
  <c r="I133" i="1"/>
  <c r="J133" i="1" s="1"/>
  <c r="I134" i="1"/>
  <c r="J134" i="1" s="1"/>
  <c r="I135" i="1"/>
  <c r="J135" i="1" s="1"/>
  <c r="I136" i="1"/>
  <c r="J136" i="1" s="1"/>
  <c r="I137" i="1"/>
  <c r="J137" i="1" s="1"/>
  <c r="I138" i="1"/>
  <c r="J138" i="1" s="1"/>
  <c r="I139" i="1"/>
  <c r="J139" i="1" s="1"/>
  <c r="I140" i="1"/>
  <c r="J140" i="1" s="1"/>
  <c r="I141" i="1"/>
  <c r="J141" i="1" s="1"/>
  <c r="I142" i="1"/>
  <c r="J142" i="1" s="1"/>
  <c r="I143" i="1"/>
  <c r="J143" i="1" s="1"/>
  <c r="I144" i="1"/>
  <c r="J144" i="1" s="1"/>
  <c r="I145" i="1"/>
  <c r="J145" i="1" s="1"/>
  <c r="I146" i="1"/>
  <c r="J146" i="1" s="1"/>
  <c r="I147" i="1"/>
  <c r="J147" i="1" s="1"/>
  <c r="I148" i="1"/>
  <c r="J148" i="1" s="1"/>
  <c r="I149" i="1"/>
  <c r="J149" i="1" s="1"/>
  <c r="I150" i="1"/>
  <c r="J150" i="1" s="1"/>
  <c r="I151" i="1"/>
  <c r="J151" i="1" s="1"/>
  <c r="I152" i="1"/>
  <c r="J152" i="1" s="1"/>
  <c r="I153" i="1"/>
  <c r="J153" i="1" s="1"/>
  <c r="I154" i="1"/>
  <c r="J154" i="1" s="1"/>
  <c r="I155" i="1"/>
  <c r="J155" i="1" s="1"/>
  <c r="I156" i="1"/>
  <c r="J156" i="1" s="1"/>
  <c r="I157" i="1"/>
  <c r="J157" i="1" s="1"/>
  <c r="I158" i="1"/>
  <c r="J158" i="1" s="1"/>
  <c r="I159" i="1"/>
  <c r="J159" i="1" s="1"/>
  <c r="I160" i="1"/>
  <c r="J160" i="1" s="1"/>
  <c r="I161" i="1"/>
  <c r="J161" i="1" s="1"/>
  <c r="I162" i="1"/>
  <c r="J162" i="1" s="1"/>
  <c r="I163" i="1"/>
  <c r="J163" i="1" s="1"/>
  <c r="I164" i="1"/>
  <c r="J164" i="1" s="1"/>
  <c r="I165" i="1"/>
  <c r="J165" i="1" s="1"/>
  <c r="I166" i="1"/>
  <c r="J166" i="1" s="1"/>
  <c r="I167" i="1"/>
  <c r="J167" i="1" s="1"/>
  <c r="I168" i="1"/>
  <c r="J168" i="1" s="1"/>
  <c r="I169" i="1"/>
  <c r="J169" i="1" s="1"/>
  <c r="I170" i="1"/>
  <c r="J170" i="1" s="1"/>
  <c r="I171" i="1"/>
  <c r="J171" i="1" s="1"/>
  <c r="I172" i="1"/>
  <c r="J172" i="1" s="1"/>
  <c r="I173" i="1"/>
  <c r="J173" i="1" s="1"/>
  <c r="I174" i="1"/>
  <c r="J174" i="1" s="1"/>
  <c r="I175" i="1"/>
  <c r="J175" i="1" s="1"/>
  <c r="I176" i="1"/>
  <c r="J176" i="1" s="1"/>
  <c r="I177" i="1"/>
  <c r="J177" i="1" s="1"/>
  <c r="I178" i="1"/>
  <c r="J178" i="1" s="1"/>
  <c r="I179" i="1"/>
  <c r="J179" i="1" s="1"/>
  <c r="I180" i="1"/>
  <c r="J180" i="1" s="1"/>
  <c r="I181" i="1"/>
  <c r="J181" i="1" s="1"/>
  <c r="I182" i="1"/>
  <c r="J182" i="1" s="1"/>
  <c r="I183" i="1"/>
  <c r="J183" i="1" s="1"/>
  <c r="I184" i="1"/>
  <c r="J184" i="1" s="1"/>
  <c r="I185" i="1"/>
  <c r="J185" i="1" s="1"/>
  <c r="I186" i="1"/>
  <c r="J186" i="1" s="1"/>
  <c r="I187" i="1"/>
  <c r="J187" i="1" s="1"/>
  <c r="I188" i="1"/>
  <c r="J188" i="1" s="1"/>
  <c r="I189" i="1"/>
  <c r="J189" i="1" s="1"/>
  <c r="I190" i="1"/>
  <c r="J190" i="1" s="1"/>
  <c r="I191" i="1"/>
  <c r="J191" i="1" s="1"/>
  <c r="I192" i="1"/>
  <c r="J192" i="1" s="1"/>
  <c r="I193" i="1"/>
  <c r="J193" i="1" s="1"/>
  <c r="I194" i="1"/>
  <c r="J194" i="1" s="1"/>
  <c r="I195" i="1"/>
  <c r="J195" i="1" s="1"/>
  <c r="I196" i="1"/>
  <c r="J196" i="1" s="1"/>
  <c r="I197" i="1"/>
  <c r="J197" i="1" s="1"/>
  <c r="I198" i="1"/>
  <c r="J198" i="1" s="1"/>
  <c r="I199" i="1"/>
  <c r="J199" i="1" s="1"/>
  <c r="I200" i="1"/>
  <c r="J200" i="1" s="1"/>
  <c r="I201" i="1"/>
  <c r="J201" i="1" s="1"/>
  <c r="I202" i="1"/>
  <c r="J202" i="1" s="1"/>
  <c r="I203" i="1"/>
  <c r="J203" i="1" s="1"/>
  <c r="I204" i="1"/>
  <c r="J204" i="1" s="1"/>
  <c r="I205" i="1"/>
  <c r="J205" i="1" s="1"/>
  <c r="I206" i="1"/>
  <c r="J206" i="1" s="1"/>
  <c r="I207" i="1"/>
  <c r="J207" i="1" s="1"/>
  <c r="I208" i="1"/>
  <c r="J208" i="1" s="1"/>
  <c r="I209" i="1"/>
  <c r="J209" i="1" s="1"/>
  <c r="I210" i="1"/>
  <c r="J210" i="1" s="1"/>
  <c r="I211" i="1"/>
  <c r="J211" i="1" s="1"/>
  <c r="I212" i="1"/>
  <c r="J212" i="1" s="1"/>
  <c r="I213" i="1"/>
  <c r="J213" i="1" s="1"/>
  <c r="I214" i="1"/>
  <c r="J214" i="1" s="1"/>
  <c r="I215" i="1"/>
  <c r="J215" i="1" s="1"/>
  <c r="I216" i="1"/>
  <c r="J216" i="1" s="1"/>
  <c r="I217" i="1"/>
  <c r="J217" i="1" s="1"/>
  <c r="I218" i="1"/>
  <c r="J218" i="1" s="1"/>
  <c r="I219" i="1"/>
  <c r="J219" i="1" s="1"/>
  <c r="I220" i="1"/>
  <c r="J220" i="1" s="1"/>
  <c r="I221" i="1"/>
  <c r="J221" i="1" s="1"/>
  <c r="I222" i="1"/>
  <c r="J222" i="1" s="1"/>
  <c r="I223" i="1"/>
  <c r="J223" i="1" s="1"/>
  <c r="I224" i="1"/>
  <c r="J224" i="1" s="1"/>
  <c r="I225" i="1"/>
  <c r="J225" i="1" s="1"/>
  <c r="I226" i="1"/>
  <c r="J226" i="1" s="1"/>
  <c r="I227" i="1"/>
  <c r="J227" i="1" s="1"/>
  <c r="I228" i="1"/>
  <c r="J228" i="1" s="1"/>
  <c r="I229" i="1"/>
  <c r="J229" i="1" s="1"/>
  <c r="I230" i="1"/>
  <c r="J230" i="1" s="1"/>
  <c r="I231" i="1"/>
  <c r="J231" i="1" s="1"/>
  <c r="I232" i="1"/>
  <c r="J232" i="1" s="1"/>
  <c r="I233" i="1"/>
  <c r="J233" i="1" s="1"/>
  <c r="I234" i="1"/>
  <c r="J234" i="1" s="1"/>
  <c r="I235" i="1"/>
  <c r="J235" i="1" s="1"/>
  <c r="I236" i="1"/>
  <c r="J236" i="1" s="1"/>
  <c r="I237" i="1"/>
  <c r="J237" i="1" s="1"/>
  <c r="I238" i="1"/>
  <c r="J238" i="1" s="1"/>
  <c r="I239" i="1"/>
  <c r="J239" i="1" s="1"/>
  <c r="I240" i="1"/>
  <c r="J240" i="1" s="1"/>
  <c r="I241" i="1"/>
  <c r="J241" i="1" s="1"/>
  <c r="I242" i="1"/>
  <c r="J242" i="1" s="1"/>
  <c r="I243" i="1"/>
  <c r="J243" i="1" s="1"/>
  <c r="I244" i="1"/>
  <c r="J244" i="1" s="1"/>
  <c r="I245" i="1"/>
  <c r="J245" i="1" s="1"/>
  <c r="I246" i="1"/>
  <c r="J246" i="1" s="1"/>
  <c r="I247" i="1"/>
  <c r="J247" i="1" s="1"/>
  <c r="I248" i="1"/>
  <c r="J248" i="1" s="1"/>
  <c r="I249" i="1"/>
  <c r="J249" i="1" s="1"/>
  <c r="I250" i="1"/>
  <c r="J250" i="1" s="1"/>
  <c r="I251" i="1"/>
  <c r="J251" i="1" s="1"/>
  <c r="I252" i="1"/>
  <c r="J252" i="1" s="1"/>
  <c r="I253" i="1"/>
  <c r="J253" i="1" s="1"/>
  <c r="I254" i="1"/>
  <c r="J254" i="1" s="1"/>
  <c r="I255" i="1"/>
  <c r="J255" i="1" s="1"/>
  <c r="I256" i="1"/>
  <c r="J256" i="1" s="1"/>
  <c r="I257" i="1"/>
  <c r="J257" i="1" s="1"/>
  <c r="I258" i="1"/>
  <c r="J258" i="1" s="1"/>
  <c r="I259" i="1"/>
  <c r="J259" i="1" s="1"/>
  <c r="I260" i="1"/>
  <c r="J260" i="1" s="1"/>
  <c r="I261" i="1"/>
  <c r="J261" i="1" s="1"/>
  <c r="I262" i="1"/>
  <c r="J262" i="1" s="1"/>
  <c r="I263" i="1"/>
  <c r="J263" i="1" s="1"/>
  <c r="I264" i="1"/>
  <c r="J264" i="1" s="1"/>
  <c r="I265" i="1"/>
  <c r="J265" i="1" s="1"/>
  <c r="I266" i="1"/>
  <c r="J266" i="1" s="1"/>
  <c r="I267" i="1"/>
  <c r="J267" i="1" s="1"/>
  <c r="I268" i="1"/>
  <c r="J268" i="1" s="1"/>
  <c r="I269" i="1"/>
  <c r="J269" i="1" s="1"/>
  <c r="I270" i="1"/>
  <c r="J270" i="1" s="1"/>
  <c r="I271" i="1"/>
  <c r="J271" i="1" s="1"/>
  <c r="I272" i="1"/>
  <c r="J272" i="1" s="1"/>
  <c r="I273" i="1"/>
  <c r="J273" i="1" s="1"/>
  <c r="I274" i="1"/>
  <c r="J274" i="1" s="1"/>
  <c r="I275" i="1"/>
  <c r="J275" i="1" s="1"/>
  <c r="I276" i="1"/>
  <c r="J276" i="1" s="1"/>
  <c r="I277" i="1"/>
  <c r="J277" i="1" s="1"/>
  <c r="I278" i="1"/>
  <c r="J278" i="1" s="1"/>
  <c r="I279" i="1"/>
  <c r="J279" i="1" s="1"/>
  <c r="I280" i="1"/>
  <c r="J280" i="1" s="1"/>
  <c r="I281" i="1"/>
  <c r="J281" i="1" s="1"/>
  <c r="I282" i="1"/>
  <c r="J282" i="1" s="1"/>
  <c r="I283" i="1"/>
  <c r="J283" i="1" s="1"/>
  <c r="I284" i="1"/>
  <c r="J284" i="1" s="1"/>
  <c r="I285" i="1"/>
  <c r="J285" i="1" s="1"/>
  <c r="I286" i="1"/>
  <c r="J286" i="1" s="1"/>
  <c r="I287" i="1"/>
  <c r="J287" i="1" s="1"/>
  <c r="I288" i="1"/>
  <c r="J288" i="1" s="1"/>
  <c r="I289" i="1"/>
  <c r="J289" i="1" s="1"/>
  <c r="I290" i="1"/>
  <c r="J290" i="1" s="1"/>
  <c r="I291" i="1"/>
  <c r="J291" i="1" s="1"/>
  <c r="I292" i="1"/>
  <c r="J292" i="1" s="1"/>
  <c r="I293" i="1"/>
  <c r="J293" i="1" s="1"/>
  <c r="I294" i="1"/>
  <c r="J294" i="1" s="1"/>
  <c r="I295" i="1"/>
  <c r="J295" i="1" s="1"/>
  <c r="I296" i="1"/>
  <c r="J296" i="1" s="1"/>
  <c r="I297" i="1"/>
  <c r="J297" i="1" s="1"/>
  <c r="I298" i="1"/>
  <c r="J298" i="1" s="1"/>
  <c r="I299" i="1"/>
  <c r="J299" i="1" s="1"/>
  <c r="I300" i="1"/>
  <c r="I301" i="1"/>
  <c r="J301" i="1" s="1"/>
  <c r="I302" i="1"/>
  <c r="J302" i="1" s="1"/>
  <c r="F10" i="31" l="1"/>
  <c r="F11" i="31" s="1"/>
  <c r="G10" i="31"/>
  <c r="G11" i="31" s="1"/>
  <c r="E4" i="4"/>
  <c r="E5" i="4"/>
  <c r="E6" i="4"/>
  <c r="E7" i="4"/>
  <c r="E8" i="4"/>
  <c r="E3" i="4"/>
  <c r="D3" i="4"/>
  <c r="F8" i="4"/>
  <c r="F7" i="4"/>
  <c r="F6" i="4"/>
  <c r="F5" i="4"/>
  <c r="F4" i="4"/>
  <c r="F3" i="4"/>
  <c r="D4" i="4"/>
  <c r="D5" i="4"/>
  <c r="D6" i="4"/>
  <c r="D7" i="4"/>
  <c r="D8" i="4"/>
  <c r="J12" i="2"/>
  <c r="J9" i="2"/>
  <c r="J10" i="2"/>
  <c r="I10" i="2"/>
  <c r="I9" i="2"/>
  <c r="J6" i="2"/>
  <c r="J5" i="2"/>
  <c r="J4" i="2"/>
  <c r="J3" i="2"/>
  <c r="I6" i="2"/>
  <c r="I5" i="2"/>
  <c r="I4" i="2"/>
  <c r="I3" i="2"/>
  <c r="I7" i="2" l="1"/>
  <c r="J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8CC20E-F678-483E-A260-328F48592807}"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2" xr16:uid="{F070BE02-6D05-4C8A-96AB-494C63C1626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C546472-7412-47CF-92F9-0047286A8E5E}" name="WorksheetConnection_1stSpreadsheet.xlsx!Data" type="102" refreshedVersion="8" minRefreshableVersion="5">
    <extLst>
      <ext xmlns:x15="http://schemas.microsoft.com/office/spreadsheetml/2010/11/main" uri="{DE250136-89BD-433C-8126-D09CA5730AF9}">
        <x15:connection id="Data" autoDelete="1">
          <x15:rangePr sourceName="_xlcn.WorksheetConnection_1stSpreadsheet.xlsxData"/>
        </x15:connection>
      </ext>
    </extLst>
  </connection>
  <connection id="4" xr16:uid="{899C803B-EF66-4831-8F07-FE222CDDECC5}" name="WorksheetConnection_1stSpreadsheet.xlsx!Data9" type="102" refreshedVersion="8" minRefreshableVersion="5">
    <extLst>
      <ext xmlns:x15="http://schemas.microsoft.com/office/spreadsheetml/2010/11/main" uri="{DE250136-89BD-433C-8126-D09CA5730AF9}">
        <x15:connection id="Data9">
          <x15:rangePr sourceName="_xlcn.WorksheetConnection_1stSpreadsheet.xlsxData9"/>
        </x15:connection>
      </ext>
    </extLst>
  </connection>
</connections>
</file>

<file path=xl/sharedStrings.xml><?xml version="1.0" encoding="utf-8"?>
<sst xmlns="http://schemas.openxmlformats.org/spreadsheetml/2006/main" count="2918" uniqueCount="86">
  <si>
    <t>Sales Person</t>
  </si>
  <si>
    <t>Geography</t>
  </si>
  <si>
    <t>Product</t>
  </si>
  <si>
    <t>Amount</t>
  </si>
  <si>
    <t>Units</t>
  </si>
  <si>
    <t>Ram Mahesh</t>
  </si>
  <si>
    <t>New Zealand</t>
  </si>
  <si>
    <t>70% Dark Bites</t>
  </si>
  <si>
    <t>Brien Boise</t>
  </si>
  <si>
    <t>USA</t>
  </si>
  <si>
    <t>Choco Coated Almonds</t>
  </si>
  <si>
    <t>Husein Augar</t>
  </si>
  <si>
    <t>Almond Choco</t>
  </si>
  <si>
    <t>Carla Molina</t>
  </si>
  <si>
    <t>Canada</t>
  </si>
  <si>
    <t>Drinking Coco</t>
  </si>
  <si>
    <t>Curtice Advani</t>
  </si>
  <si>
    <t>UK</t>
  </si>
  <si>
    <t>White Choc</t>
  </si>
  <si>
    <t>Peanut Butter Cubes</t>
  </si>
  <si>
    <t>Australia</t>
  </si>
  <si>
    <t>Smooth Sliky Salty</t>
  </si>
  <si>
    <t>After Nines</t>
  </si>
  <si>
    <t>Ches Bonnell</t>
  </si>
  <si>
    <t>50% Dark Bites</t>
  </si>
  <si>
    <t>Gigi Bohling</t>
  </si>
  <si>
    <t>Barr Faughny</t>
  </si>
  <si>
    <t>Gunar Cockshoot</t>
  </si>
  <si>
    <t>Eclairs</t>
  </si>
  <si>
    <t>Mint Chip Choco</t>
  </si>
  <si>
    <t>India</t>
  </si>
  <si>
    <t>Milk Bars</t>
  </si>
  <si>
    <t>Manuka Honey Choco</t>
  </si>
  <si>
    <t>Orange Choco</t>
  </si>
  <si>
    <t>Fruit &amp; Nut Bars</t>
  </si>
  <si>
    <t>Oby Sorrel</t>
  </si>
  <si>
    <t>99% Dark &amp; Pure</t>
  </si>
  <si>
    <t>Raspberry Choco</t>
  </si>
  <si>
    <t>85% Dark Bars</t>
  </si>
  <si>
    <t>Organic Choco Syrup</t>
  </si>
  <si>
    <t>Caramel Stuffed Bars</t>
  </si>
  <si>
    <t>Spicy Special Slims</t>
  </si>
  <si>
    <t>Baker's Choco Chips</t>
  </si>
  <si>
    <t>Average</t>
  </si>
  <si>
    <t>Median</t>
  </si>
  <si>
    <t>Min</t>
  </si>
  <si>
    <t>Max</t>
  </si>
  <si>
    <t>Range</t>
  </si>
  <si>
    <t>First Q</t>
  </si>
  <si>
    <t>Third Q</t>
  </si>
  <si>
    <t>Distinct Count Of Products</t>
  </si>
  <si>
    <t>Country</t>
  </si>
  <si>
    <t>Row Labels</t>
  </si>
  <si>
    <t>Grand Total</t>
  </si>
  <si>
    <t>Sum of Amount</t>
  </si>
  <si>
    <t xml:space="preserve">Cost </t>
  </si>
  <si>
    <t>Sum of Units</t>
  </si>
  <si>
    <t xml:space="preserve">                          </t>
  </si>
  <si>
    <t>Questions</t>
  </si>
  <si>
    <t>Cost per unit</t>
  </si>
  <si>
    <t>Sales per unit</t>
  </si>
  <si>
    <t>Total Profit</t>
  </si>
  <si>
    <t xml:space="preserve">          </t>
  </si>
  <si>
    <t>Profit</t>
  </si>
  <si>
    <t>Total profit</t>
  </si>
  <si>
    <t>Pick A Country</t>
  </si>
  <si>
    <t>countries</t>
  </si>
  <si>
    <t>Quick Summary</t>
  </si>
  <si>
    <t>By Sales person</t>
  </si>
  <si>
    <t>Sales</t>
  </si>
  <si>
    <t>Cost</t>
  </si>
  <si>
    <t>Quantity</t>
  </si>
  <si>
    <t>Number of transactions</t>
  </si>
  <si>
    <t>Total</t>
  </si>
  <si>
    <t>Profit percentage</t>
  </si>
  <si>
    <t>AWESOME CHOCOLATES SALES INSIGHTS</t>
  </si>
  <si>
    <t>1.QUICK STATISTICS</t>
  </si>
  <si>
    <t>2.EXPLORATORY DATA ANALYSIS(EDA)WITH CF</t>
  </si>
  <si>
    <t>3.SALES BY COUNTRY ( WITH FORMULAS)</t>
  </si>
  <si>
    <t>4.SALES BY COUNTRY (WITH PIVOTS)</t>
  </si>
  <si>
    <t>5.TOP 10 PRODUCTS BY $ PER UNIT</t>
  </si>
  <si>
    <t>6.ARE THERE ANY ANOMALIES IN THE DATA ?</t>
  </si>
  <si>
    <t>7.BEST SALES PERSON BY COUNTRY</t>
  </si>
  <si>
    <t>8.PROFIT BY PRODUCTS ( USING PRODUCTS TABLE )</t>
  </si>
  <si>
    <t>9.DYNAMIC COUNTRY-LEVEL SALES REPORT</t>
  </si>
  <si>
    <t xml:space="preserve"> 10.WHICH PRODUCTS TO DIS-CONTINUE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</si>
</sst>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_-[$$-409]* #,##0.00_ ;_-[$$-409]* \-#,##0.00\ ;_-[$$-409]* &quot;-&quot;??_ ;_-@_ "/>
    <numFmt numFmtId="165" formatCode="_-[$$-409]* #,##0_ ;_-[$$-409]* \-#,##0\ ;_-[$$-409]* &quot;-&quot;??_ ;_-@_ "/>
    <numFmt numFmtId="166" formatCode="&quot;$&quot;#,##0.00_);[Red]\(&quot;$&quot;#,##0.00\)"/>
    <numFmt numFmtId="167" formatCode="\$#,##0.00;\(\$#,##0.00\);\$#,##0.00"/>
    <numFmt numFmtId="168" formatCode="0%;\-0%;0%"/>
  </numFmts>
  <fonts count="13" x14ac:knownFonts="1">
    <font>
      <sz val="11"/>
      <color theme="1"/>
      <name val="Calibri"/>
      <family val="2"/>
      <scheme val="minor"/>
    </font>
    <font>
      <b/>
      <sz val="11"/>
      <color theme="1"/>
      <name val="Calibri"/>
      <family val="2"/>
      <scheme val="minor"/>
    </font>
    <font>
      <b/>
      <i/>
      <u/>
      <sz val="11"/>
      <color theme="1"/>
      <name val="Calibri"/>
      <family val="2"/>
      <scheme val="minor"/>
    </font>
    <font>
      <b/>
      <i/>
      <sz val="16"/>
      <color theme="1"/>
      <name val="Calibri"/>
      <family val="2"/>
      <scheme val="minor"/>
    </font>
    <font>
      <sz val="16"/>
      <color theme="1"/>
      <name val="Calibri"/>
      <family val="2"/>
      <scheme val="minor"/>
    </font>
    <font>
      <b/>
      <sz val="14"/>
      <color theme="1"/>
      <name val="Calibri"/>
      <family val="2"/>
      <scheme val="minor"/>
    </font>
    <font>
      <sz val="36"/>
      <color theme="1"/>
      <name val="Algerian"/>
      <family val="5"/>
    </font>
    <font>
      <sz val="11"/>
      <color theme="1"/>
      <name val="Algerian"/>
      <family val="5"/>
    </font>
    <font>
      <sz val="18"/>
      <color theme="1"/>
      <name val="Algerian"/>
      <family val="5"/>
    </font>
    <font>
      <sz val="22"/>
      <color theme="1"/>
      <name val="Algerian"/>
      <family val="5"/>
    </font>
    <font>
      <sz val="26"/>
      <color theme="1"/>
      <name val="Algerian"/>
      <family val="5"/>
    </font>
    <font>
      <sz val="28"/>
      <color theme="1"/>
      <name val="Algerian"/>
      <family val="5"/>
    </font>
    <font>
      <sz val="20"/>
      <color theme="1"/>
      <name val="Algerian"/>
      <family val="5"/>
    </font>
  </fonts>
  <fills count="4">
    <fill>
      <patternFill patternType="none"/>
    </fill>
    <fill>
      <patternFill patternType="gray125"/>
    </fill>
    <fill>
      <patternFill patternType="solid">
        <fgColor theme="7"/>
        <bgColor indexed="64"/>
      </patternFill>
    </fill>
    <fill>
      <patternFill patternType="solid">
        <fgColor theme="7" tint="0.79998168889431442"/>
        <bgColor indexed="64"/>
      </patternFill>
    </fill>
  </fills>
  <borders count="3">
    <border>
      <left/>
      <right/>
      <top/>
      <bottom/>
      <diagonal/>
    </border>
    <border>
      <left/>
      <right/>
      <top style="thin">
        <color theme="7"/>
      </top>
      <bottom/>
      <diagonal/>
    </border>
    <border>
      <left/>
      <right/>
      <top/>
      <bottom style="thin">
        <color theme="7" tint="0.39997558519241921"/>
      </bottom>
      <diagonal/>
    </border>
  </borders>
  <cellStyleXfs count="1">
    <xf numFmtId="0" fontId="0" fillId="0" borderId="0"/>
  </cellStyleXfs>
  <cellXfs count="37">
    <xf numFmtId="0" fontId="0" fillId="0" borderId="0" xfId="0"/>
    <xf numFmtId="0" fontId="1" fillId="0" borderId="0" xfId="0" applyFont="1"/>
    <xf numFmtId="0" fontId="1" fillId="0" borderId="0" xfId="0" applyFont="1" applyAlignment="1">
      <alignment horizontal="right"/>
    </xf>
    <xf numFmtId="3" fontId="0" fillId="0" borderId="0" xfId="0" applyNumberFormat="1"/>
    <xf numFmtId="164" fontId="1" fillId="0" borderId="0" xfId="0" applyNumberFormat="1" applyFont="1" applyAlignment="1">
      <alignment horizontal="right"/>
    </xf>
    <xf numFmtId="164" fontId="0" fillId="0" borderId="0" xfId="0" applyNumberFormat="1"/>
    <xf numFmtId="0" fontId="0" fillId="0" borderId="1" xfId="0" applyBorder="1"/>
    <xf numFmtId="1" fontId="0" fillId="0" borderId="0" xfId="0" applyNumberFormat="1"/>
    <xf numFmtId="43"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applyAlignment="1">
      <alignment horizontal="center"/>
    </xf>
    <xf numFmtId="164" fontId="1" fillId="0" borderId="0" xfId="0" applyNumberFormat="1" applyFont="1"/>
    <xf numFmtId="166" fontId="0" fillId="0" borderId="0" xfId="0" applyNumberFormat="1"/>
    <xf numFmtId="167" fontId="0" fillId="0" borderId="0" xfId="0" applyNumberFormat="1"/>
    <xf numFmtId="0" fontId="0" fillId="0" borderId="0" xfId="0" applyAlignment="1">
      <alignment horizontal="center"/>
    </xf>
    <xf numFmtId="0" fontId="2" fillId="2" borderId="0" xfId="0" applyFont="1" applyFill="1"/>
    <xf numFmtId="0" fontId="0" fillId="3" borderId="0" xfId="0" applyFill="1"/>
    <xf numFmtId="0" fontId="1" fillId="3" borderId="0" xfId="0" applyFont="1" applyFill="1"/>
    <xf numFmtId="0" fontId="5" fillId="0" borderId="0" xfId="0" applyFont="1"/>
    <xf numFmtId="0" fontId="1" fillId="3" borderId="2" xfId="0" applyFont="1" applyFill="1" applyBorder="1"/>
    <xf numFmtId="168" fontId="0" fillId="0" borderId="0" xfId="0" applyNumberFormat="1"/>
    <xf numFmtId="0" fontId="6" fillId="0" borderId="0" xfId="0" applyFont="1" applyAlignment="1">
      <alignment horizontal="center"/>
    </xf>
    <xf numFmtId="0" fontId="0" fillId="0" borderId="0" xfId="0" applyAlignment="1">
      <alignment horizontal="center"/>
    </xf>
    <xf numFmtId="0" fontId="8" fillId="0" borderId="0" xfId="0" applyFont="1" applyAlignment="1">
      <alignment horizontal="center"/>
    </xf>
    <xf numFmtId="0" fontId="11" fillId="0" borderId="0" xfId="0" applyFont="1" applyAlignment="1">
      <alignment horizontal="center"/>
    </xf>
    <xf numFmtId="0" fontId="12" fillId="0" borderId="0" xfId="0" applyFont="1" applyAlignment="1">
      <alignment horizontal="center"/>
    </xf>
    <xf numFmtId="0" fontId="10" fillId="0" borderId="0" xfId="0" applyFont="1" applyAlignment="1">
      <alignment horizontal="center"/>
    </xf>
    <xf numFmtId="0" fontId="7" fillId="0" borderId="0" xfId="0" applyFont="1" applyAlignment="1">
      <alignment horizontal="center"/>
    </xf>
    <xf numFmtId="0" fontId="9" fillId="0" borderId="0" xfId="0" applyFont="1" applyAlignment="1">
      <alignment horizontal="center"/>
    </xf>
    <xf numFmtId="0" fontId="5" fillId="0" borderId="0" xfId="0" applyFont="1" applyAlignment="1">
      <alignment horizontal="left"/>
    </xf>
    <xf numFmtId="0" fontId="5" fillId="0" borderId="0" xfId="0" applyFont="1" applyAlignment="1">
      <alignment horizontal="center"/>
    </xf>
    <xf numFmtId="0" fontId="3" fillId="2" borderId="0" xfId="0" applyFont="1" applyFill="1" applyAlignment="1">
      <alignment horizontal="left"/>
    </xf>
    <xf numFmtId="0" fontId="4" fillId="2" borderId="0" xfId="0" applyFont="1" applyFill="1" applyAlignment="1">
      <alignment horizontal="left"/>
    </xf>
    <xf numFmtId="0" fontId="0" fillId="0" borderId="0" xfId="0"/>
  </cellXfs>
  <cellStyles count="1">
    <cellStyle name="Normal" xfId="0" builtinId="0"/>
  </cellStyles>
  <dxfs count="20">
    <dxf>
      <font>
        <color rgb="FF9C0006"/>
      </font>
      <fill>
        <patternFill>
          <bgColor rgb="FFFFC7CE"/>
        </patternFill>
      </fill>
    </dxf>
    <dxf>
      <numFmt numFmtId="3" formatCode="#,##0"/>
    </dxf>
    <dxf>
      <numFmt numFmtId="164" formatCode="_-[$$-409]* #,##0.00_ ;_-[$$-409]* \-#,##0.00\ ;_-[$$-409]* &quot;-&quot;??_ ;_-@_ "/>
    </dxf>
    <dxf>
      <font>
        <b/>
        <i val="0"/>
        <strike val="0"/>
        <condense val="0"/>
        <extend val="0"/>
        <outline val="0"/>
        <shadow val="0"/>
        <u val="none"/>
        <vertAlign val="baseline"/>
        <sz val="11"/>
        <color theme="1"/>
        <name val="Calibri"/>
        <family val="2"/>
        <scheme val="minor"/>
      </font>
    </dxf>
    <dxf>
      <numFmt numFmtId="165" formatCode="_-[$$-409]* #,##0_ ;_-[$$-409]* \-#,##0\ ;_-[$$-409]* &quot;-&quot;??_ ;_-@_ "/>
    </dxf>
    <dxf>
      <numFmt numFmtId="165" formatCode="_-[$$-409]* #,##0_ ;_-[$$-409]* \-#,##0\ ;_-[$$-409]* &quot;-&quot;??_ ;_-@_ "/>
    </dxf>
    <dxf>
      <numFmt numFmtId="165" formatCode="_-[$$-409]* #,##0_ ;_-[$$-409]* \-#,##0\ ;_-[$$-409]* &quot;-&quot;??_ ;_-@_ "/>
    </dxf>
    <dxf>
      <border diagonalUp="0" diagonalDown="0">
        <left/>
        <right/>
        <top style="thin">
          <color theme="7"/>
        </top>
        <bottom/>
        <vertical/>
        <horizontal/>
      </border>
    </dxf>
    <dxf>
      <fill>
        <patternFill patternType="none">
          <fgColor indexed="64"/>
          <bgColor auto="1"/>
        </patternFill>
      </fill>
    </dxf>
    <dxf>
      <numFmt numFmtId="3" formatCode="#,##0"/>
    </dxf>
    <dxf>
      <numFmt numFmtId="164" formatCode="_-[$$-409]* #,##0.00_ ;_-[$$-409]* \-#,##0.00\ ;_-[$$-409]* &quot;-&quot;??_ ;_-@_ "/>
    </dxf>
    <dxf>
      <font>
        <b/>
        <i val="0"/>
        <strike val="0"/>
        <condense val="0"/>
        <extend val="0"/>
        <outline val="0"/>
        <shadow val="0"/>
        <u val="none"/>
        <vertAlign val="baseline"/>
        <sz val="11"/>
        <color theme="1"/>
        <name val="Calibri"/>
        <family val="2"/>
        <scheme val="minor"/>
      </font>
    </dxf>
    <dxf>
      <numFmt numFmtId="164" formatCode="_-[$$-409]* #,##0.00_ ;_-[$$-409]* \-#,##0.00\ ;_-[$$-409]* &quot;-&quot;??_ ;_-@_ "/>
    </dxf>
    <dxf>
      <numFmt numFmtId="166" formatCode="&quot;$&quot;#,##0.00_);[Red]\(&quot;$&quot;#,##0.00\)"/>
    </dxf>
    <dxf>
      <numFmt numFmtId="0" formatCode="General"/>
    </dxf>
    <dxf>
      <numFmt numFmtId="0" formatCode="General"/>
    </dxf>
    <dxf>
      <numFmt numFmtId="3" formatCode="#,##0"/>
    </dxf>
    <dxf>
      <numFmt numFmtId="164" formatCode="_-[$$-409]* #,##0.00_ ;_-[$$-409]* \-#,##0.00\ ;_-[$$-409]* &quot;-&quot;??_ ;_-@_ "/>
    </dxf>
    <dxf>
      <font>
        <b/>
        <i val="0"/>
        <strike val="0"/>
        <condense val="0"/>
        <extend val="0"/>
        <outline val="0"/>
        <shadow val="0"/>
        <u val="none"/>
        <vertAlign val="baseline"/>
        <sz val="11"/>
        <color theme="1"/>
        <name val="Calibri"/>
        <family val="2"/>
        <scheme val="minor"/>
      </font>
    </dxf>
    <dxf>
      <numFmt numFmtId="165"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Anomolies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0.10628512979131104"/>
          <c:y val="0.13501099257708693"/>
          <c:w val="0.80326867583884054"/>
          <c:h val="0.72019323254855294"/>
        </c:manualLayout>
      </c:layout>
      <c:scatterChart>
        <c:scatterStyle val="lineMarker"/>
        <c:varyColors val="0"/>
        <c:ser>
          <c:idx val="0"/>
          <c:order val="0"/>
          <c:tx>
            <c:strRef>
              <c:f>data6!$Q$2</c:f>
              <c:strCache>
                <c:ptCount val="1"/>
                <c:pt idx="0">
                  <c:v>Units</c:v>
                </c:pt>
              </c:strCache>
            </c:strRef>
          </c:tx>
          <c:spPr>
            <a:ln w="25400" cap="rnd">
              <a:noFill/>
            </a:ln>
            <a:effectLst>
              <a:glow rad="139700">
                <a:schemeClr val="accent4">
                  <a:satMod val="175000"/>
                  <a:alpha val="14000"/>
                </a:schemeClr>
              </a:glow>
            </a:effectLst>
          </c:spPr>
          <c:marker>
            <c:symbol val="circle"/>
            <c:size val="3"/>
            <c:spPr>
              <a:solidFill>
                <a:schemeClr val="accent4">
                  <a:lumMod val="60000"/>
                  <a:lumOff val="40000"/>
                </a:schemeClr>
              </a:solidFill>
              <a:ln>
                <a:noFill/>
              </a:ln>
              <a:effectLst>
                <a:glow rad="63500">
                  <a:schemeClr val="accent4">
                    <a:satMod val="175000"/>
                    <a:alpha val="25000"/>
                  </a:schemeClr>
                </a:glow>
              </a:effectLst>
            </c:spPr>
          </c:marker>
          <c:xVal>
            <c:numRef>
              <c:f>data6!$P$3:$P$302</c:f>
              <c:numCache>
                <c:formatCode>_-[$$-409]* #,##0.00_ ;_-[$$-409]* \-#,##0.00\ ;_-[$$-409]* "-"??_ ;_-@_ </c:formatCode>
                <c:ptCount val="300"/>
                <c:pt idx="0">
                  <c:v>1624</c:v>
                </c:pt>
                <c:pt idx="1">
                  <c:v>6706</c:v>
                </c:pt>
                <c:pt idx="2">
                  <c:v>959</c:v>
                </c:pt>
                <c:pt idx="3">
                  <c:v>9632</c:v>
                </c:pt>
                <c:pt idx="4">
                  <c:v>2100</c:v>
                </c:pt>
                <c:pt idx="5">
                  <c:v>8869</c:v>
                </c:pt>
                <c:pt idx="6">
                  <c:v>2681</c:v>
                </c:pt>
                <c:pt idx="7">
                  <c:v>5012</c:v>
                </c:pt>
                <c:pt idx="8">
                  <c:v>1281</c:v>
                </c:pt>
                <c:pt idx="9">
                  <c:v>4991</c:v>
                </c:pt>
                <c:pt idx="10">
                  <c:v>1785</c:v>
                </c:pt>
                <c:pt idx="11">
                  <c:v>3983</c:v>
                </c:pt>
                <c:pt idx="12">
                  <c:v>2646</c:v>
                </c:pt>
                <c:pt idx="13">
                  <c:v>252</c:v>
                </c:pt>
                <c:pt idx="14">
                  <c:v>2464</c:v>
                </c:pt>
                <c:pt idx="15">
                  <c:v>2114</c:v>
                </c:pt>
                <c:pt idx="16">
                  <c:v>7693</c:v>
                </c:pt>
                <c:pt idx="17">
                  <c:v>15610</c:v>
                </c:pt>
                <c:pt idx="18">
                  <c:v>336</c:v>
                </c:pt>
                <c:pt idx="19">
                  <c:v>9443</c:v>
                </c:pt>
                <c:pt idx="20">
                  <c:v>8155</c:v>
                </c:pt>
                <c:pt idx="21">
                  <c:v>1701</c:v>
                </c:pt>
                <c:pt idx="22">
                  <c:v>2205</c:v>
                </c:pt>
                <c:pt idx="23">
                  <c:v>1771</c:v>
                </c:pt>
                <c:pt idx="24">
                  <c:v>2114</c:v>
                </c:pt>
                <c:pt idx="25">
                  <c:v>10311</c:v>
                </c:pt>
                <c:pt idx="26">
                  <c:v>21</c:v>
                </c:pt>
                <c:pt idx="27">
                  <c:v>1974</c:v>
                </c:pt>
                <c:pt idx="28">
                  <c:v>6314</c:v>
                </c:pt>
                <c:pt idx="29">
                  <c:v>4683</c:v>
                </c:pt>
                <c:pt idx="30">
                  <c:v>6398</c:v>
                </c:pt>
                <c:pt idx="31">
                  <c:v>553</c:v>
                </c:pt>
                <c:pt idx="32">
                  <c:v>7021</c:v>
                </c:pt>
                <c:pt idx="33">
                  <c:v>5817</c:v>
                </c:pt>
                <c:pt idx="34">
                  <c:v>3976</c:v>
                </c:pt>
                <c:pt idx="35">
                  <c:v>1134</c:v>
                </c:pt>
                <c:pt idx="36">
                  <c:v>6027</c:v>
                </c:pt>
                <c:pt idx="37">
                  <c:v>1904</c:v>
                </c:pt>
                <c:pt idx="38">
                  <c:v>3262</c:v>
                </c:pt>
                <c:pt idx="39">
                  <c:v>2289</c:v>
                </c:pt>
                <c:pt idx="40">
                  <c:v>6986</c:v>
                </c:pt>
                <c:pt idx="41">
                  <c:v>4417</c:v>
                </c:pt>
                <c:pt idx="42">
                  <c:v>1442</c:v>
                </c:pt>
                <c:pt idx="43">
                  <c:v>2415</c:v>
                </c:pt>
                <c:pt idx="44">
                  <c:v>238</c:v>
                </c:pt>
                <c:pt idx="45">
                  <c:v>4949</c:v>
                </c:pt>
                <c:pt idx="46">
                  <c:v>5075</c:v>
                </c:pt>
                <c:pt idx="47">
                  <c:v>9198</c:v>
                </c:pt>
                <c:pt idx="48">
                  <c:v>3339</c:v>
                </c:pt>
                <c:pt idx="49">
                  <c:v>5019</c:v>
                </c:pt>
                <c:pt idx="50">
                  <c:v>16184</c:v>
                </c:pt>
                <c:pt idx="51">
                  <c:v>497</c:v>
                </c:pt>
                <c:pt idx="52">
                  <c:v>8211</c:v>
                </c:pt>
                <c:pt idx="53">
                  <c:v>6580</c:v>
                </c:pt>
                <c:pt idx="54">
                  <c:v>4760</c:v>
                </c:pt>
                <c:pt idx="55">
                  <c:v>5439</c:v>
                </c:pt>
                <c:pt idx="56">
                  <c:v>1463</c:v>
                </c:pt>
                <c:pt idx="57">
                  <c:v>7777</c:v>
                </c:pt>
                <c:pt idx="58">
                  <c:v>1085</c:v>
                </c:pt>
                <c:pt idx="59">
                  <c:v>182</c:v>
                </c:pt>
                <c:pt idx="60">
                  <c:v>4242</c:v>
                </c:pt>
                <c:pt idx="61">
                  <c:v>6118</c:v>
                </c:pt>
                <c:pt idx="62">
                  <c:v>2317</c:v>
                </c:pt>
                <c:pt idx="63">
                  <c:v>938</c:v>
                </c:pt>
                <c:pt idx="64">
                  <c:v>9709</c:v>
                </c:pt>
                <c:pt idx="65">
                  <c:v>2205</c:v>
                </c:pt>
                <c:pt idx="66">
                  <c:v>4487</c:v>
                </c:pt>
                <c:pt idx="67">
                  <c:v>2415</c:v>
                </c:pt>
                <c:pt idx="68">
                  <c:v>4018</c:v>
                </c:pt>
                <c:pt idx="69">
                  <c:v>861</c:v>
                </c:pt>
                <c:pt idx="70">
                  <c:v>5586</c:v>
                </c:pt>
                <c:pt idx="71">
                  <c:v>2226</c:v>
                </c:pt>
                <c:pt idx="72">
                  <c:v>14329</c:v>
                </c:pt>
                <c:pt idx="73">
                  <c:v>8463</c:v>
                </c:pt>
                <c:pt idx="74">
                  <c:v>2891</c:v>
                </c:pt>
                <c:pt idx="75">
                  <c:v>3773</c:v>
                </c:pt>
                <c:pt idx="76">
                  <c:v>854</c:v>
                </c:pt>
                <c:pt idx="77">
                  <c:v>4970</c:v>
                </c:pt>
                <c:pt idx="78">
                  <c:v>98</c:v>
                </c:pt>
                <c:pt idx="79">
                  <c:v>13391</c:v>
                </c:pt>
                <c:pt idx="80">
                  <c:v>8890</c:v>
                </c:pt>
                <c:pt idx="81">
                  <c:v>56</c:v>
                </c:pt>
                <c:pt idx="82">
                  <c:v>3339</c:v>
                </c:pt>
                <c:pt idx="83">
                  <c:v>3808</c:v>
                </c:pt>
                <c:pt idx="84">
                  <c:v>63</c:v>
                </c:pt>
                <c:pt idx="85">
                  <c:v>7812</c:v>
                </c:pt>
                <c:pt idx="86">
                  <c:v>7693</c:v>
                </c:pt>
                <c:pt idx="87">
                  <c:v>973</c:v>
                </c:pt>
                <c:pt idx="88">
                  <c:v>567</c:v>
                </c:pt>
                <c:pt idx="89">
                  <c:v>2471</c:v>
                </c:pt>
                <c:pt idx="90">
                  <c:v>7189</c:v>
                </c:pt>
                <c:pt idx="91">
                  <c:v>7455</c:v>
                </c:pt>
                <c:pt idx="92">
                  <c:v>3108</c:v>
                </c:pt>
                <c:pt idx="93">
                  <c:v>469</c:v>
                </c:pt>
                <c:pt idx="94">
                  <c:v>2737</c:v>
                </c:pt>
                <c:pt idx="95">
                  <c:v>4305</c:v>
                </c:pt>
                <c:pt idx="96">
                  <c:v>2408</c:v>
                </c:pt>
                <c:pt idx="97">
                  <c:v>1281</c:v>
                </c:pt>
                <c:pt idx="98">
                  <c:v>12348</c:v>
                </c:pt>
                <c:pt idx="99">
                  <c:v>3689</c:v>
                </c:pt>
                <c:pt idx="100">
                  <c:v>2870</c:v>
                </c:pt>
                <c:pt idx="101">
                  <c:v>798</c:v>
                </c:pt>
                <c:pt idx="102">
                  <c:v>2933</c:v>
                </c:pt>
                <c:pt idx="103">
                  <c:v>2744</c:v>
                </c:pt>
                <c:pt idx="104">
                  <c:v>9772</c:v>
                </c:pt>
                <c:pt idx="105">
                  <c:v>1568</c:v>
                </c:pt>
                <c:pt idx="106">
                  <c:v>11417</c:v>
                </c:pt>
                <c:pt idx="107">
                  <c:v>6748</c:v>
                </c:pt>
                <c:pt idx="108">
                  <c:v>1407</c:v>
                </c:pt>
                <c:pt idx="109">
                  <c:v>2023</c:v>
                </c:pt>
                <c:pt idx="110">
                  <c:v>5236</c:v>
                </c:pt>
                <c:pt idx="111">
                  <c:v>1925</c:v>
                </c:pt>
                <c:pt idx="112">
                  <c:v>6608</c:v>
                </c:pt>
                <c:pt idx="113">
                  <c:v>8008</c:v>
                </c:pt>
                <c:pt idx="114">
                  <c:v>1428</c:v>
                </c:pt>
                <c:pt idx="115">
                  <c:v>525</c:v>
                </c:pt>
                <c:pt idx="116">
                  <c:v>1505</c:v>
                </c:pt>
                <c:pt idx="117">
                  <c:v>6755</c:v>
                </c:pt>
                <c:pt idx="118">
                  <c:v>11571</c:v>
                </c:pt>
                <c:pt idx="119">
                  <c:v>2541</c:v>
                </c:pt>
                <c:pt idx="120">
                  <c:v>1526</c:v>
                </c:pt>
                <c:pt idx="121">
                  <c:v>6125</c:v>
                </c:pt>
                <c:pt idx="122">
                  <c:v>847</c:v>
                </c:pt>
                <c:pt idx="123">
                  <c:v>4753</c:v>
                </c:pt>
                <c:pt idx="124">
                  <c:v>959</c:v>
                </c:pt>
                <c:pt idx="125">
                  <c:v>2793</c:v>
                </c:pt>
                <c:pt idx="126">
                  <c:v>4606</c:v>
                </c:pt>
                <c:pt idx="127">
                  <c:v>5551</c:v>
                </c:pt>
                <c:pt idx="128">
                  <c:v>6657</c:v>
                </c:pt>
                <c:pt idx="129">
                  <c:v>4438</c:v>
                </c:pt>
                <c:pt idx="130">
                  <c:v>168</c:v>
                </c:pt>
                <c:pt idx="131">
                  <c:v>7777</c:v>
                </c:pt>
                <c:pt idx="132">
                  <c:v>3339</c:v>
                </c:pt>
                <c:pt idx="133">
                  <c:v>6391</c:v>
                </c:pt>
                <c:pt idx="134">
                  <c:v>518</c:v>
                </c:pt>
                <c:pt idx="135">
                  <c:v>5677</c:v>
                </c:pt>
                <c:pt idx="136">
                  <c:v>6048</c:v>
                </c:pt>
                <c:pt idx="137">
                  <c:v>3752</c:v>
                </c:pt>
                <c:pt idx="138">
                  <c:v>4480</c:v>
                </c:pt>
                <c:pt idx="139">
                  <c:v>259</c:v>
                </c:pt>
                <c:pt idx="140">
                  <c:v>42</c:v>
                </c:pt>
                <c:pt idx="141">
                  <c:v>98</c:v>
                </c:pt>
                <c:pt idx="142">
                  <c:v>2478</c:v>
                </c:pt>
                <c:pt idx="143">
                  <c:v>7847</c:v>
                </c:pt>
                <c:pt idx="144">
                  <c:v>9926</c:v>
                </c:pt>
                <c:pt idx="145">
                  <c:v>819</c:v>
                </c:pt>
                <c:pt idx="146">
                  <c:v>3052</c:v>
                </c:pt>
                <c:pt idx="147">
                  <c:v>6832</c:v>
                </c:pt>
                <c:pt idx="148">
                  <c:v>2016</c:v>
                </c:pt>
                <c:pt idx="149">
                  <c:v>7322</c:v>
                </c:pt>
                <c:pt idx="150">
                  <c:v>357</c:v>
                </c:pt>
                <c:pt idx="151">
                  <c:v>3192</c:v>
                </c:pt>
                <c:pt idx="152">
                  <c:v>8435</c:v>
                </c:pt>
                <c:pt idx="153">
                  <c:v>0</c:v>
                </c:pt>
                <c:pt idx="154">
                  <c:v>8862</c:v>
                </c:pt>
                <c:pt idx="155">
                  <c:v>3556</c:v>
                </c:pt>
                <c:pt idx="156">
                  <c:v>7280</c:v>
                </c:pt>
                <c:pt idx="157">
                  <c:v>3402</c:v>
                </c:pt>
                <c:pt idx="158">
                  <c:v>4592</c:v>
                </c:pt>
                <c:pt idx="159">
                  <c:v>7833</c:v>
                </c:pt>
                <c:pt idx="160">
                  <c:v>7651</c:v>
                </c:pt>
                <c:pt idx="161">
                  <c:v>2275</c:v>
                </c:pt>
                <c:pt idx="162">
                  <c:v>5670</c:v>
                </c:pt>
                <c:pt idx="163">
                  <c:v>2135</c:v>
                </c:pt>
                <c:pt idx="164">
                  <c:v>2779</c:v>
                </c:pt>
                <c:pt idx="165">
                  <c:v>12950</c:v>
                </c:pt>
                <c:pt idx="166">
                  <c:v>2646</c:v>
                </c:pt>
                <c:pt idx="167">
                  <c:v>3794</c:v>
                </c:pt>
                <c:pt idx="168">
                  <c:v>819</c:v>
                </c:pt>
                <c:pt idx="169">
                  <c:v>2583</c:v>
                </c:pt>
                <c:pt idx="170">
                  <c:v>4585</c:v>
                </c:pt>
                <c:pt idx="171">
                  <c:v>1652</c:v>
                </c:pt>
                <c:pt idx="172">
                  <c:v>4991</c:v>
                </c:pt>
                <c:pt idx="173">
                  <c:v>2009</c:v>
                </c:pt>
                <c:pt idx="174">
                  <c:v>1568</c:v>
                </c:pt>
                <c:pt idx="175">
                  <c:v>3388</c:v>
                </c:pt>
                <c:pt idx="176">
                  <c:v>623</c:v>
                </c:pt>
                <c:pt idx="177">
                  <c:v>10073</c:v>
                </c:pt>
                <c:pt idx="178">
                  <c:v>1561</c:v>
                </c:pt>
                <c:pt idx="179">
                  <c:v>11522</c:v>
                </c:pt>
                <c:pt idx="180">
                  <c:v>2317</c:v>
                </c:pt>
                <c:pt idx="181">
                  <c:v>3059</c:v>
                </c:pt>
                <c:pt idx="182">
                  <c:v>2324</c:v>
                </c:pt>
                <c:pt idx="183">
                  <c:v>4956</c:v>
                </c:pt>
                <c:pt idx="184">
                  <c:v>5355</c:v>
                </c:pt>
                <c:pt idx="185">
                  <c:v>7259</c:v>
                </c:pt>
                <c:pt idx="186">
                  <c:v>6279</c:v>
                </c:pt>
                <c:pt idx="187">
                  <c:v>2541</c:v>
                </c:pt>
                <c:pt idx="188">
                  <c:v>3864</c:v>
                </c:pt>
                <c:pt idx="189">
                  <c:v>6146</c:v>
                </c:pt>
                <c:pt idx="190">
                  <c:v>2639</c:v>
                </c:pt>
                <c:pt idx="191">
                  <c:v>1890</c:v>
                </c:pt>
                <c:pt idx="192">
                  <c:v>1932</c:v>
                </c:pt>
                <c:pt idx="193">
                  <c:v>6300</c:v>
                </c:pt>
                <c:pt idx="194">
                  <c:v>560</c:v>
                </c:pt>
                <c:pt idx="195">
                  <c:v>2856</c:v>
                </c:pt>
                <c:pt idx="196">
                  <c:v>707</c:v>
                </c:pt>
                <c:pt idx="197">
                  <c:v>3598</c:v>
                </c:pt>
                <c:pt idx="198">
                  <c:v>6853</c:v>
                </c:pt>
                <c:pt idx="199">
                  <c:v>4725</c:v>
                </c:pt>
                <c:pt idx="200">
                  <c:v>10304</c:v>
                </c:pt>
                <c:pt idx="201">
                  <c:v>1274</c:v>
                </c:pt>
                <c:pt idx="202">
                  <c:v>1526</c:v>
                </c:pt>
                <c:pt idx="203">
                  <c:v>3101</c:v>
                </c:pt>
                <c:pt idx="204">
                  <c:v>1057</c:v>
                </c:pt>
                <c:pt idx="205">
                  <c:v>5306</c:v>
                </c:pt>
                <c:pt idx="206">
                  <c:v>4018</c:v>
                </c:pt>
                <c:pt idx="207">
                  <c:v>938</c:v>
                </c:pt>
                <c:pt idx="208">
                  <c:v>1778</c:v>
                </c:pt>
                <c:pt idx="209">
                  <c:v>1638</c:v>
                </c:pt>
                <c:pt idx="210">
                  <c:v>154</c:v>
                </c:pt>
                <c:pt idx="211">
                  <c:v>9835</c:v>
                </c:pt>
                <c:pt idx="212">
                  <c:v>7273</c:v>
                </c:pt>
                <c:pt idx="213">
                  <c:v>6909</c:v>
                </c:pt>
                <c:pt idx="214">
                  <c:v>3920</c:v>
                </c:pt>
                <c:pt idx="215">
                  <c:v>4858</c:v>
                </c:pt>
                <c:pt idx="216">
                  <c:v>3549</c:v>
                </c:pt>
                <c:pt idx="217">
                  <c:v>966</c:v>
                </c:pt>
                <c:pt idx="218">
                  <c:v>385</c:v>
                </c:pt>
                <c:pt idx="219">
                  <c:v>2219</c:v>
                </c:pt>
                <c:pt idx="220">
                  <c:v>2954</c:v>
                </c:pt>
                <c:pt idx="221">
                  <c:v>280</c:v>
                </c:pt>
                <c:pt idx="222">
                  <c:v>6118</c:v>
                </c:pt>
                <c:pt idx="223">
                  <c:v>4802</c:v>
                </c:pt>
                <c:pt idx="224">
                  <c:v>4137</c:v>
                </c:pt>
                <c:pt idx="225">
                  <c:v>2023</c:v>
                </c:pt>
                <c:pt idx="226">
                  <c:v>9051</c:v>
                </c:pt>
                <c:pt idx="227">
                  <c:v>2919</c:v>
                </c:pt>
                <c:pt idx="228">
                  <c:v>5915</c:v>
                </c:pt>
                <c:pt idx="229">
                  <c:v>2562</c:v>
                </c:pt>
                <c:pt idx="230">
                  <c:v>8813</c:v>
                </c:pt>
                <c:pt idx="231">
                  <c:v>6111</c:v>
                </c:pt>
                <c:pt idx="232">
                  <c:v>3507</c:v>
                </c:pt>
                <c:pt idx="233">
                  <c:v>4319</c:v>
                </c:pt>
                <c:pt idx="234">
                  <c:v>609</c:v>
                </c:pt>
                <c:pt idx="235">
                  <c:v>6370</c:v>
                </c:pt>
                <c:pt idx="236">
                  <c:v>5474</c:v>
                </c:pt>
                <c:pt idx="237">
                  <c:v>3164</c:v>
                </c:pt>
                <c:pt idx="238">
                  <c:v>1302</c:v>
                </c:pt>
                <c:pt idx="239">
                  <c:v>7308</c:v>
                </c:pt>
                <c:pt idx="240">
                  <c:v>6132</c:v>
                </c:pt>
                <c:pt idx="241">
                  <c:v>3472</c:v>
                </c:pt>
                <c:pt idx="242">
                  <c:v>9660</c:v>
                </c:pt>
                <c:pt idx="243">
                  <c:v>2436</c:v>
                </c:pt>
                <c:pt idx="244">
                  <c:v>9506</c:v>
                </c:pt>
                <c:pt idx="245">
                  <c:v>245</c:v>
                </c:pt>
                <c:pt idx="246">
                  <c:v>2702</c:v>
                </c:pt>
                <c:pt idx="247">
                  <c:v>700</c:v>
                </c:pt>
                <c:pt idx="248">
                  <c:v>3759</c:v>
                </c:pt>
                <c:pt idx="249">
                  <c:v>1589</c:v>
                </c:pt>
                <c:pt idx="250">
                  <c:v>5194</c:v>
                </c:pt>
                <c:pt idx="251">
                  <c:v>945</c:v>
                </c:pt>
                <c:pt idx="252">
                  <c:v>1988</c:v>
                </c:pt>
                <c:pt idx="253">
                  <c:v>6734</c:v>
                </c:pt>
                <c:pt idx="254">
                  <c:v>217</c:v>
                </c:pt>
                <c:pt idx="255">
                  <c:v>6279</c:v>
                </c:pt>
                <c:pt idx="256">
                  <c:v>4424</c:v>
                </c:pt>
                <c:pt idx="257">
                  <c:v>189</c:v>
                </c:pt>
                <c:pt idx="258">
                  <c:v>490</c:v>
                </c:pt>
                <c:pt idx="259">
                  <c:v>434</c:v>
                </c:pt>
                <c:pt idx="260">
                  <c:v>10129</c:v>
                </c:pt>
                <c:pt idx="261">
                  <c:v>1652</c:v>
                </c:pt>
                <c:pt idx="262">
                  <c:v>6433</c:v>
                </c:pt>
                <c:pt idx="263">
                  <c:v>2212</c:v>
                </c:pt>
                <c:pt idx="264">
                  <c:v>609</c:v>
                </c:pt>
                <c:pt idx="265">
                  <c:v>1638</c:v>
                </c:pt>
                <c:pt idx="266">
                  <c:v>3829</c:v>
                </c:pt>
                <c:pt idx="267">
                  <c:v>5775</c:v>
                </c:pt>
                <c:pt idx="268">
                  <c:v>1071</c:v>
                </c:pt>
                <c:pt idx="269">
                  <c:v>5019</c:v>
                </c:pt>
                <c:pt idx="270">
                  <c:v>2863</c:v>
                </c:pt>
                <c:pt idx="271">
                  <c:v>1617</c:v>
                </c:pt>
                <c:pt idx="272">
                  <c:v>6818</c:v>
                </c:pt>
                <c:pt idx="273">
                  <c:v>6657</c:v>
                </c:pt>
                <c:pt idx="274">
                  <c:v>2919</c:v>
                </c:pt>
                <c:pt idx="275">
                  <c:v>3094</c:v>
                </c:pt>
                <c:pt idx="276">
                  <c:v>2989</c:v>
                </c:pt>
                <c:pt idx="277">
                  <c:v>2268</c:v>
                </c:pt>
                <c:pt idx="278">
                  <c:v>4753</c:v>
                </c:pt>
                <c:pt idx="279">
                  <c:v>7511</c:v>
                </c:pt>
                <c:pt idx="280">
                  <c:v>4326</c:v>
                </c:pt>
                <c:pt idx="281">
                  <c:v>4935</c:v>
                </c:pt>
                <c:pt idx="282">
                  <c:v>4781</c:v>
                </c:pt>
                <c:pt idx="283">
                  <c:v>7483</c:v>
                </c:pt>
                <c:pt idx="284">
                  <c:v>6860</c:v>
                </c:pt>
                <c:pt idx="285">
                  <c:v>9002</c:v>
                </c:pt>
                <c:pt idx="286">
                  <c:v>1400</c:v>
                </c:pt>
                <c:pt idx="287">
                  <c:v>4053</c:v>
                </c:pt>
                <c:pt idx="288">
                  <c:v>2149</c:v>
                </c:pt>
                <c:pt idx="289">
                  <c:v>3640</c:v>
                </c:pt>
                <c:pt idx="290">
                  <c:v>630</c:v>
                </c:pt>
                <c:pt idx="291">
                  <c:v>2429</c:v>
                </c:pt>
                <c:pt idx="292">
                  <c:v>2142</c:v>
                </c:pt>
                <c:pt idx="293">
                  <c:v>6454</c:v>
                </c:pt>
                <c:pt idx="294">
                  <c:v>4487</c:v>
                </c:pt>
                <c:pt idx="295">
                  <c:v>938</c:v>
                </c:pt>
                <c:pt idx="296">
                  <c:v>8841</c:v>
                </c:pt>
                <c:pt idx="297">
                  <c:v>4018</c:v>
                </c:pt>
                <c:pt idx="298">
                  <c:v>714</c:v>
                </c:pt>
                <c:pt idx="299">
                  <c:v>3850</c:v>
                </c:pt>
              </c:numCache>
            </c:numRef>
          </c:xVal>
          <c:yVal>
            <c:numRef>
              <c:f>data6!$Q$3:$Q$302</c:f>
              <c:numCache>
                <c:formatCode>#,##0</c:formatCode>
                <c:ptCount val="300"/>
                <c:pt idx="0">
                  <c:v>114</c:v>
                </c:pt>
                <c:pt idx="1">
                  <c:v>459</c:v>
                </c:pt>
                <c:pt idx="2">
                  <c:v>147</c:v>
                </c:pt>
                <c:pt idx="3">
                  <c:v>288</c:v>
                </c:pt>
                <c:pt idx="4">
                  <c:v>414</c:v>
                </c:pt>
                <c:pt idx="5">
                  <c:v>432</c:v>
                </c:pt>
                <c:pt idx="6">
                  <c:v>54</c:v>
                </c:pt>
                <c:pt idx="7">
                  <c:v>210</c:v>
                </c:pt>
                <c:pt idx="8">
                  <c:v>75</c:v>
                </c:pt>
                <c:pt idx="9">
                  <c:v>12</c:v>
                </c:pt>
                <c:pt idx="10">
                  <c:v>462</c:v>
                </c:pt>
                <c:pt idx="11">
                  <c:v>144</c:v>
                </c:pt>
                <c:pt idx="12">
                  <c:v>120</c:v>
                </c:pt>
                <c:pt idx="13">
                  <c:v>54</c:v>
                </c:pt>
                <c:pt idx="14">
                  <c:v>234</c:v>
                </c:pt>
                <c:pt idx="15">
                  <c:v>66</c:v>
                </c:pt>
                <c:pt idx="16">
                  <c:v>87</c:v>
                </c:pt>
                <c:pt idx="17">
                  <c:v>339</c:v>
                </c:pt>
                <c:pt idx="18">
                  <c:v>144</c:v>
                </c:pt>
                <c:pt idx="19">
                  <c:v>162</c:v>
                </c:pt>
                <c:pt idx="20">
                  <c:v>90</c:v>
                </c:pt>
                <c:pt idx="21">
                  <c:v>234</c:v>
                </c:pt>
                <c:pt idx="22">
                  <c:v>141</c:v>
                </c:pt>
                <c:pt idx="23">
                  <c:v>204</c:v>
                </c:pt>
                <c:pt idx="24">
                  <c:v>186</c:v>
                </c:pt>
                <c:pt idx="25">
                  <c:v>231</c:v>
                </c:pt>
                <c:pt idx="26">
                  <c:v>168</c:v>
                </c:pt>
                <c:pt idx="27">
                  <c:v>195</c:v>
                </c:pt>
                <c:pt idx="28">
                  <c:v>15</c:v>
                </c:pt>
                <c:pt idx="29">
                  <c:v>30</c:v>
                </c:pt>
                <c:pt idx="30">
                  <c:v>102</c:v>
                </c:pt>
                <c:pt idx="31">
                  <c:v>15</c:v>
                </c:pt>
                <c:pt idx="32">
                  <c:v>183</c:v>
                </c:pt>
                <c:pt idx="33">
                  <c:v>12</c:v>
                </c:pt>
                <c:pt idx="34">
                  <c:v>72</c:v>
                </c:pt>
                <c:pt idx="35">
                  <c:v>282</c:v>
                </c:pt>
                <c:pt idx="36">
                  <c:v>144</c:v>
                </c:pt>
                <c:pt idx="37">
                  <c:v>405</c:v>
                </c:pt>
                <c:pt idx="38">
                  <c:v>75</c:v>
                </c:pt>
                <c:pt idx="39">
                  <c:v>135</c:v>
                </c:pt>
                <c:pt idx="40">
                  <c:v>21</c:v>
                </c:pt>
                <c:pt idx="41">
                  <c:v>153</c:v>
                </c:pt>
                <c:pt idx="42">
                  <c:v>15</c:v>
                </c:pt>
                <c:pt idx="43">
                  <c:v>255</c:v>
                </c:pt>
                <c:pt idx="44">
                  <c:v>18</c:v>
                </c:pt>
                <c:pt idx="45">
                  <c:v>189</c:v>
                </c:pt>
                <c:pt idx="46">
                  <c:v>21</c:v>
                </c:pt>
                <c:pt idx="47">
                  <c:v>36</c:v>
                </c:pt>
                <c:pt idx="48">
                  <c:v>75</c:v>
                </c:pt>
                <c:pt idx="49">
                  <c:v>156</c:v>
                </c:pt>
                <c:pt idx="50">
                  <c:v>39</c:v>
                </c:pt>
                <c:pt idx="51">
                  <c:v>63</c:v>
                </c:pt>
                <c:pt idx="52">
                  <c:v>75</c:v>
                </c:pt>
                <c:pt idx="53">
                  <c:v>183</c:v>
                </c:pt>
                <c:pt idx="54">
                  <c:v>69</c:v>
                </c:pt>
                <c:pt idx="55">
                  <c:v>30</c:v>
                </c:pt>
                <c:pt idx="56">
                  <c:v>39</c:v>
                </c:pt>
                <c:pt idx="57">
                  <c:v>504</c:v>
                </c:pt>
                <c:pt idx="58">
                  <c:v>273</c:v>
                </c:pt>
                <c:pt idx="59">
                  <c:v>48</c:v>
                </c:pt>
                <c:pt idx="60">
                  <c:v>207</c:v>
                </c:pt>
                <c:pt idx="61">
                  <c:v>9</c:v>
                </c:pt>
                <c:pt idx="62">
                  <c:v>261</c:v>
                </c:pt>
                <c:pt idx="63">
                  <c:v>6</c:v>
                </c:pt>
                <c:pt idx="64">
                  <c:v>30</c:v>
                </c:pt>
                <c:pt idx="65">
                  <c:v>138</c:v>
                </c:pt>
                <c:pt idx="66">
                  <c:v>111</c:v>
                </c:pt>
                <c:pt idx="67">
                  <c:v>15</c:v>
                </c:pt>
                <c:pt idx="68">
                  <c:v>162</c:v>
                </c:pt>
                <c:pt idx="69">
                  <c:v>195</c:v>
                </c:pt>
                <c:pt idx="70">
                  <c:v>525</c:v>
                </c:pt>
                <c:pt idx="71">
                  <c:v>48</c:v>
                </c:pt>
                <c:pt idx="72">
                  <c:v>150</c:v>
                </c:pt>
                <c:pt idx="73">
                  <c:v>492</c:v>
                </c:pt>
                <c:pt idx="74">
                  <c:v>102</c:v>
                </c:pt>
                <c:pt idx="75">
                  <c:v>165</c:v>
                </c:pt>
                <c:pt idx="76">
                  <c:v>309</c:v>
                </c:pt>
                <c:pt idx="77">
                  <c:v>156</c:v>
                </c:pt>
                <c:pt idx="78">
                  <c:v>159</c:v>
                </c:pt>
                <c:pt idx="79">
                  <c:v>201</c:v>
                </c:pt>
                <c:pt idx="80">
                  <c:v>210</c:v>
                </c:pt>
                <c:pt idx="81">
                  <c:v>51</c:v>
                </c:pt>
                <c:pt idx="82">
                  <c:v>39</c:v>
                </c:pt>
                <c:pt idx="83">
                  <c:v>279</c:v>
                </c:pt>
                <c:pt idx="84">
                  <c:v>123</c:v>
                </c:pt>
                <c:pt idx="85">
                  <c:v>81</c:v>
                </c:pt>
                <c:pt idx="86">
                  <c:v>21</c:v>
                </c:pt>
                <c:pt idx="87">
                  <c:v>162</c:v>
                </c:pt>
                <c:pt idx="88">
                  <c:v>228</c:v>
                </c:pt>
                <c:pt idx="89">
                  <c:v>342</c:v>
                </c:pt>
                <c:pt idx="90">
                  <c:v>54</c:v>
                </c:pt>
                <c:pt idx="91">
                  <c:v>216</c:v>
                </c:pt>
                <c:pt idx="92">
                  <c:v>54</c:v>
                </c:pt>
                <c:pt idx="93">
                  <c:v>75</c:v>
                </c:pt>
                <c:pt idx="94">
                  <c:v>93</c:v>
                </c:pt>
                <c:pt idx="95">
                  <c:v>156</c:v>
                </c:pt>
                <c:pt idx="96">
                  <c:v>9</c:v>
                </c:pt>
                <c:pt idx="97">
                  <c:v>18</c:v>
                </c:pt>
                <c:pt idx="98">
                  <c:v>234</c:v>
                </c:pt>
                <c:pt idx="99">
                  <c:v>312</c:v>
                </c:pt>
                <c:pt idx="100">
                  <c:v>300</c:v>
                </c:pt>
                <c:pt idx="101">
                  <c:v>519</c:v>
                </c:pt>
                <c:pt idx="102">
                  <c:v>9</c:v>
                </c:pt>
                <c:pt idx="103">
                  <c:v>9</c:v>
                </c:pt>
                <c:pt idx="104">
                  <c:v>90</c:v>
                </c:pt>
                <c:pt idx="105">
                  <c:v>96</c:v>
                </c:pt>
                <c:pt idx="106">
                  <c:v>21</c:v>
                </c:pt>
                <c:pt idx="107">
                  <c:v>48</c:v>
                </c:pt>
                <c:pt idx="108">
                  <c:v>72</c:v>
                </c:pt>
                <c:pt idx="109">
                  <c:v>168</c:v>
                </c:pt>
                <c:pt idx="110">
                  <c:v>51</c:v>
                </c:pt>
                <c:pt idx="111">
                  <c:v>192</c:v>
                </c:pt>
                <c:pt idx="112">
                  <c:v>225</c:v>
                </c:pt>
                <c:pt idx="113">
                  <c:v>456</c:v>
                </c:pt>
                <c:pt idx="114">
                  <c:v>93</c:v>
                </c:pt>
                <c:pt idx="115">
                  <c:v>48</c:v>
                </c:pt>
                <c:pt idx="116">
                  <c:v>102</c:v>
                </c:pt>
                <c:pt idx="117">
                  <c:v>252</c:v>
                </c:pt>
                <c:pt idx="118">
                  <c:v>138</c:v>
                </c:pt>
                <c:pt idx="119">
                  <c:v>90</c:v>
                </c:pt>
                <c:pt idx="120">
                  <c:v>240</c:v>
                </c:pt>
                <c:pt idx="121">
                  <c:v>102</c:v>
                </c:pt>
                <c:pt idx="122">
                  <c:v>129</c:v>
                </c:pt>
                <c:pt idx="123">
                  <c:v>300</c:v>
                </c:pt>
                <c:pt idx="124">
                  <c:v>135</c:v>
                </c:pt>
                <c:pt idx="125">
                  <c:v>114</c:v>
                </c:pt>
                <c:pt idx="126">
                  <c:v>63</c:v>
                </c:pt>
                <c:pt idx="127">
                  <c:v>252</c:v>
                </c:pt>
                <c:pt idx="128">
                  <c:v>303</c:v>
                </c:pt>
                <c:pt idx="129">
                  <c:v>246</c:v>
                </c:pt>
                <c:pt idx="130">
                  <c:v>84</c:v>
                </c:pt>
                <c:pt idx="131">
                  <c:v>39</c:v>
                </c:pt>
                <c:pt idx="132">
                  <c:v>348</c:v>
                </c:pt>
                <c:pt idx="133">
                  <c:v>48</c:v>
                </c:pt>
                <c:pt idx="134">
                  <c:v>75</c:v>
                </c:pt>
                <c:pt idx="135">
                  <c:v>258</c:v>
                </c:pt>
                <c:pt idx="136">
                  <c:v>27</c:v>
                </c:pt>
                <c:pt idx="137">
                  <c:v>213</c:v>
                </c:pt>
                <c:pt idx="138">
                  <c:v>357</c:v>
                </c:pt>
                <c:pt idx="139">
                  <c:v>207</c:v>
                </c:pt>
                <c:pt idx="140">
                  <c:v>150</c:v>
                </c:pt>
                <c:pt idx="141">
                  <c:v>204</c:v>
                </c:pt>
                <c:pt idx="142">
                  <c:v>21</c:v>
                </c:pt>
                <c:pt idx="143">
                  <c:v>174</c:v>
                </c:pt>
                <c:pt idx="144">
                  <c:v>201</c:v>
                </c:pt>
                <c:pt idx="145">
                  <c:v>510</c:v>
                </c:pt>
                <c:pt idx="146">
                  <c:v>378</c:v>
                </c:pt>
                <c:pt idx="147">
                  <c:v>27</c:v>
                </c:pt>
                <c:pt idx="148">
                  <c:v>117</c:v>
                </c:pt>
                <c:pt idx="149">
                  <c:v>36</c:v>
                </c:pt>
                <c:pt idx="150">
                  <c:v>126</c:v>
                </c:pt>
                <c:pt idx="151">
                  <c:v>72</c:v>
                </c:pt>
                <c:pt idx="152">
                  <c:v>42</c:v>
                </c:pt>
                <c:pt idx="153">
                  <c:v>135</c:v>
                </c:pt>
                <c:pt idx="154">
                  <c:v>189</c:v>
                </c:pt>
                <c:pt idx="155">
                  <c:v>459</c:v>
                </c:pt>
                <c:pt idx="156">
                  <c:v>201</c:v>
                </c:pt>
                <c:pt idx="157">
                  <c:v>366</c:v>
                </c:pt>
                <c:pt idx="158">
                  <c:v>324</c:v>
                </c:pt>
                <c:pt idx="159">
                  <c:v>243</c:v>
                </c:pt>
                <c:pt idx="160">
                  <c:v>213</c:v>
                </c:pt>
                <c:pt idx="161">
                  <c:v>447</c:v>
                </c:pt>
                <c:pt idx="162">
                  <c:v>297</c:v>
                </c:pt>
                <c:pt idx="163">
                  <c:v>27</c:v>
                </c:pt>
                <c:pt idx="164">
                  <c:v>75</c:v>
                </c:pt>
                <c:pt idx="165">
                  <c:v>30</c:v>
                </c:pt>
                <c:pt idx="166">
                  <c:v>177</c:v>
                </c:pt>
                <c:pt idx="167">
                  <c:v>159</c:v>
                </c:pt>
                <c:pt idx="168">
                  <c:v>306</c:v>
                </c:pt>
                <c:pt idx="169">
                  <c:v>18</c:v>
                </c:pt>
                <c:pt idx="170">
                  <c:v>240</c:v>
                </c:pt>
                <c:pt idx="171">
                  <c:v>93</c:v>
                </c:pt>
                <c:pt idx="172">
                  <c:v>9</c:v>
                </c:pt>
                <c:pt idx="173">
                  <c:v>219</c:v>
                </c:pt>
                <c:pt idx="174">
                  <c:v>141</c:v>
                </c:pt>
                <c:pt idx="175">
                  <c:v>123</c:v>
                </c:pt>
                <c:pt idx="176">
                  <c:v>51</c:v>
                </c:pt>
                <c:pt idx="177">
                  <c:v>120</c:v>
                </c:pt>
                <c:pt idx="178">
                  <c:v>27</c:v>
                </c:pt>
                <c:pt idx="179">
                  <c:v>204</c:v>
                </c:pt>
                <c:pt idx="180">
                  <c:v>123</c:v>
                </c:pt>
                <c:pt idx="181">
                  <c:v>27</c:v>
                </c:pt>
                <c:pt idx="182">
                  <c:v>177</c:v>
                </c:pt>
                <c:pt idx="183">
                  <c:v>171</c:v>
                </c:pt>
                <c:pt idx="184">
                  <c:v>204</c:v>
                </c:pt>
                <c:pt idx="185">
                  <c:v>276</c:v>
                </c:pt>
                <c:pt idx="186">
                  <c:v>45</c:v>
                </c:pt>
                <c:pt idx="187">
                  <c:v>45</c:v>
                </c:pt>
                <c:pt idx="188">
                  <c:v>177</c:v>
                </c:pt>
                <c:pt idx="189">
                  <c:v>63</c:v>
                </c:pt>
                <c:pt idx="190">
                  <c:v>204</c:v>
                </c:pt>
                <c:pt idx="191">
                  <c:v>195</c:v>
                </c:pt>
                <c:pt idx="192">
                  <c:v>369</c:v>
                </c:pt>
                <c:pt idx="193">
                  <c:v>42</c:v>
                </c:pt>
                <c:pt idx="194">
                  <c:v>81</c:v>
                </c:pt>
                <c:pt idx="195">
                  <c:v>246</c:v>
                </c:pt>
                <c:pt idx="196">
                  <c:v>174</c:v>
                </c:pt>
                <c:pt idx="197">
                  <c:v>81</c:v>
                </c:pt>
                <c:pt idx="198">
                  <c:v>372</c:v>
                </c:pt>
                <c:pt idx="199">
                  <c:v>174</c:v>
                </c:pt>
                <c:pt idx="200">
                  <c:v>84</c:v>
                </c:pt>
                <c:pt idx="201">
                  <c:v>225</c:v>
                </c:pt>
                <c:pt idx="202">
                  <c:v>105</c:v>
                </c:pt>
                <c:pt idx="203">
                  <c:v>225</c:v>
                </c:pt>
                <c:pt idx="204">
                  <c:v>54</c:v>
                </c:pt>
                <c:pt idx="205">
                  <c:v>0</c:v>
                </c:pt>
                <c:pt idx="206">
                  <c:v>171</c:v>
                </c:pt>
                <c:pt idx="207">
                  <c:v>189</c:v>
                </c:pt>
                <c:pt idx="208">
                  <c:v>270</c:v>
                </c:pt>
                <c:pt idx="209">
                  <c:v>63</c:v>
                </c:pt>
                <c:pt idx="210">
                  <c:v>21</c:v>
                </c:pt>
                <c:pt idx="211">
                  <c:v>207</c:v>
                </c:pt>
                <c:pt idx="212">
                  <c:v>96</c:v>
                </c:pt>
                <c:pt idx="213">
                  <c:v>81</c:v>
                </c:pt>
                <c:pt idx="214">
                  <c:v>306</c:v>
                </c:pt>
                <c:pt idx="215">
                  <c:v>279</c:v>
                </c:pt>
                <c:pt idx="216">
                  <c:v>3</c:v>
                </c:pt>
                <c:pt idx="217">
                  <c:v>198</c:v>
                </c:pt>
                <c:pt idx="218">
                  <c:v>249</c:v>
                </c:pt>
                <c:pt idx="219">
                  <c:v>75</c:v>
                </c:pt>
                <c:pt idx="220">
                  <c:v>189</c:v>
                </c:pt>
                <c:pt idx="221">
                  <c:v>87</c:v>
                </c:pt>
                <c:pt idx="222">
                  <c:v>174</c:v>
                </c:pt>
                <c:pt idx="223">
                  <c:v>36</c:v>
                </c:pt>
                <c:pt idx="224">
                  <c:v>60</c:v>
                </c:pt>
                <c:pt idx="225">
                  <c:v>78</c:v>
                </c:pt>
                <c:pt idx="226">
                  <c:v>57</c:v>
                </c:pt>
                <c:pt idx="227">
                  <c:v>45</c:v>
                </c:pt>
                <c:pt idx="228">
                  <c:v>3</c:v>
                </c:pt>
                <c:pt idx="229">
                  <c:v>6</c:v>
                </c:pt>
                <c:pt idx="230">
                  <c:v>21</c:v>
                </c:pt>
                <c:pt idx="231">
                  <c:v>3</c:v>
                </c:pt>
                <c:pt idx="232">
                  <c:v>288</c:v>
                </c:pt>
                <c:pt idx="233">
                  <c:v>30</c:v>
                </c:pt>
                <c:pt idx="234">
                  <c:v>87</c:v>
                </c:pt>
                <c:pt idx="235">
                  <c:v>30</c:v>
                </c:pt>
                <c:pt idx="236">
                  <c:v>168</c:v>
                </c:pt>
                <c:pt idx="237">
                  <c:v>306</c:v>
                </c:pt>
                <c:pt idx="238">
                  <c:v>402</c:v>
                </c:pt>
                <c:pt idx="239">
                  <c:v>327</c:v>
                </c:pt>
                <c:pt idx="240">
                  <c:v>93</c:v>
                </c:pt>
                <c:pt idx="241">
                  <c:v>96</c:v>
                </c:pt>
                <c:pt idx="242">
                  <c:v>27</c:v>
                </c:pt>
                <c:pt idx="243">
                  <c:v>99</c:v>
                </c:pt>
                <c:pt idx="244">
                  <c:v>87</c:v>
                </c:pt>
                <c:pt idx="245">
                  <c:v>288</c:v>
                </c:pt>
                <c:pt idx="246">
                  <c:v>363</c:v>
                </c:pt>
                <c:pt idx="247">
                  <c:v>87</c:v>
                </c:pt>
                <c:pt idx="248">
                  <c:v>150</c:v>
                </c:pt>
                <c:pt idx="249">
                  <c:v>303</c:v>
                </c:pt>
                <c:pt idx="250">
                  <c:v>288</c:v>
                </c:pt>
                <c:pt idx="251">
                  <c:v>75</c:v>
                </c:pt>
                <c:pt idx="252">
                  <c:v>39</c:v>
                </c:pt>
                <c:pt idx="253">
                  <c:v>123</c:v>
                </c:pt>
                <c:pt idx="254">
                  <c:v>36</c:v>
                </c:pt>
                <c:pt idx="255">
                  <c:v>237</c:v>
                </c:pt>
                <c:pt idx="256">
                  <c:v>201</c:v>
                </c:pt>
                <c:pt idx="257">
                  <c:v>48</c:v>
                </c:pt>
                <c:pt idx="258">
                  <c:v>84</c:v>
                </c:pt>
                <c:pt idx="259">
                  <c:v>87</c:v>
                </c:pt>
                <c:pt idx="260">
                  <c:v>312</c:v>
                </c:pt>
                <c:pt idx="261">
                  <c:v>102</c:v>
                </c:pt>
                <c:pt idx="262">
                  <c:v>78</c:v>
                </c:pt>
                <c:pt idx="263">
                  <c:v>117</c:v>
                </c:pt>
                <c:pt idx="264">
                  <c:v>99</c:v>
                </c:pt>
                <c:pt idx="265">
                  <c:v>48</c:v>
                </c:pt>
                <c:pt idx="266">
                  <c:v>24</c:v>
                </c:pt>
                <c:pt idx="267">
                  <c:v>42</c:v>
                </c:pt>
                <c:pt idx="268">
                  <c:v>270</c:v>
                </c:pt>
                <c:pt idx="269">
                  <c:v>150</c:v>
                </c:pt>
                <c:pt idx="270">
                  <c:v>42</c:v>
                </c:pt>
                <c:pt idx="271">
                  <c:v>126</c:v>
                </c:pt>
                <c:pt idx="272">
                  <c:v>6</c:v>
                </c:pt>
                <c:pt idx="273">
                  <c:v>276</c:v>
                </c:pt>
                <c:pt idx="274">
                  <c:v>93</c:v>
                </c:pt>
                <c:pt idx="275">
                  <c:v>246</c:v>
                </c:pt>
                <c:pt idx="276">
                  <c:v>3</c:v>
                </c:pt>
                <c:pt idx="277">
                  <c:v>63</c:v>
                </c:pt>
                <c:pt idx="278">
                  <c:v>246</c:v>
                </c:pt>
                <c:pt idx="279">
                  <c:v>120</c:v>
                </c:pt>
                <c:pt idx="280">
                  <c:v>348</c:v>
                </c:pt>
                <c:pt idx="281">
                  <c:v>126</c:v>
                </c:pt>
                <c:pt idx="282">
                  <c:v>123</c:v>
                </c:pt>
                <c:pt idx="283">
                  <c:v>45</c:v>
                </c:pt>
                <c:pt idx="284">
                  <c:v>126</c:v>
                </c:pt>
                <c:pt idx="285">
                  <c:v>72</c:v>
                </c:pt>
                <c:pt idx="286">
                  <c:v>135</c:v>
                </c:pt>
                <c:pt idx="287">
                  <c:v>24</c:v>
                </c:pt>
                <c:pt idx="288">
                  <c:v>117</c:v>
                </c:pt>
                <c:pt idx="289">
                  <c:v>51</c:v>
                </c:pt>
                <c:pt idx="290">
                  <c:v>36</c:v>
                </c:pt>
                <c:pt idx="291">
                  <c:v>144</c:v>
                </c:pt>
                <c:pt idx="292">
                  <c:v>114</c:v>
                </c:pt>
                <c:pt idx="293">
                  <c:v>54</c:v>
                </c:pt>
                <c:pt idx="294">
                  <c:v>333</c:v>
                </c:pt>
                <c:pt idx="295">
                  <c:v>366</c:v>
                </c:pt>
                <c:pt idx="296">
                  <c:v>303</c:v>
                </c:pt>
                <c:pt idx="297">
                  <c:v>126</c:v>
                </c:pt>
                <c:pt idx="298">
                  <c:v>231</c:v>
                </c:pt>
                <c:pt idx="299">
                  <c:v>102</c:v>
                </c:pt>
              </c:numCache>
            </c:numRef>
          </c:yVal>
          <c:smooth val="0"/>
          <c:extLst>
            <c:ext xmlns:c16="http://schemas.microsoft.com/office/drawing/2014/chart" uri="{C3380CC4-5D6E-409C-BE32-E72D297353CC}">
              <c16:uniqueId val="{00000000-BF32-479A-A606-D8172BD2AC90}"/>
            </c:ext>
          </c:extLst>
        </c:ser>
        <c:dLbls>
          <c:showLegendKey val="0"/>
          <c:showVal val="0"/>
          <c:showCatName val="0"/>
          <c:showSerName val="0"/>
          <c:showPercent val="0"/>
          <c:showBubbleSize val="0"/>
        </c:dLbls>
        <c:axId val="692229136"/>
        <c:axId val="692229616"/>
      </c:scatterChart>
      <c:valAx>
        <c:axId val="692229136"/>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_-[$$-409]* #,##0.00_ ;_-[$$-409]* \-#,##0.00\ ;_-[$$-409]* &quot;-&quot;??_ ;_-@_ "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2229616"/>
        <c:crosses val="autoZero"/>
        <c:crossBetween val="midCat"/>
      </c:valAx>
      <c:valAx>
        <c:axId val="69222961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22291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Distribution of sales by country</cx:v>
        </cx:txData>
      </cx:tx>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Calibri" panose="020F0502020204030204"/>
            </a:rPr>
            <a:t>Distribution of sales by country</a:t>
          </a:r>
        </a:p>
      </cx:txPr>
    </cx:title>
    <cx:plotArea>
      <cx:plotAreaRegion>
        <cx:series layoutId="boxWhisker" uniqueId="{9C72C63F-1AA3-45ED-8823-75BFEE03635A}">
          <cx:dataId val="0"/>
          <cx:layoutPr>
            <cx:visibility meanLine="1" meanMarker="1" nonoutliers="0" outliers="1"/>
            <cx:statistics quartileMethod="exclusive"/>
          </cx:layoutPr>
        </cx:series>
      </cx:plotAreaRegion>
      <cx:axis id="0">
        <cx:catScaling gapWidth="1.5"/>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99687</xdr:colOff>
      <xdr:row>1</xdr:row>
      <xdr:rowOff>22412</xdr:rowOff>
    </xdr:from>
    <xdr:to>
      <xdr:col>12</xdr:col>
      <xdr:colOff>555232</xdr:colOff>
      <xdr:row>9</xdr:row>
      <xdr:rowOff>118003</xdr:rowOff>
    </xdr:to>
    <xdr:pic>
      <xdr:nvPicPr>
        <xdr:cNvPr id="4" name="Picture 3">
          <a:extLst>
            <a:ext uri="{FF2B5EF4-FFF2-40B4-BE49-F238E27FC236}">
              <a16:creationId xmlns:a16="http://schemas.microsoft.com/office/drawing/2014/main" id="{AFAB96C0-47B5-43E4-96A6-9DAF9258A64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990" t="19990" r="19990" b="19990"/>
        <a:stretch/>
      </xdr:blipFill>
      <xdr:spPr>
        <a:xfrm>
          <a:off x="9923511" y="605118"/>
          <a:ext cx="1680721" cy="1589708"/>
        </a:xfrm>
        <a:prstGeom prst="ellipse">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15295</xdr:colOff>
      <xdr:row>1</xdr:row>
      <xdr:rowOff>0</xdr:rowOff>
    </xdr:from>
    <xdr:to>
      <xdr:col>7</xdr:col>
      <xdr:colOff>1158704</xdr:colOff>
      <xdr:row>10</xdr:row>
      <xdr:rowOff>120648</xdr:rowOff>
    </xdr:to>
    <mc:AlternateContent xmlns:mc="http://schemas.openxmlformats.org/markup-compatibility/2006" xmlns:a14="http://schemas.microsoft.com/office/drawing/2010/main">
      <mc:Choice Requires="a14">
        <xdr:graphicFrame macro="">
          <xdr:nvGraphicFramePr>
            <xdr:cNvPr id="4" name="Sales Person">
              <a:extLst>
                <a:ext uri="{FF2B5EF4-FFF2-40B4-BE49-F238E27FC236}">
                  <a16:creationId xmlns:a16="http://schemas.microsoft.com/office/drawing/2014/main" id="{BD2B142B-C551-5CE5-E7E1-AED66D10DFC8}"/>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4149145" y="184150"/>
              <a:ext cx="2984909" cy="1777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189846</xdr:colOff>
      <xdr:row>0</xdr:row>
      <xdr:rowOff>641547</xdr:rowOff>
    </xdr:from>
    <xdr:to>
      <xdr:col>11</xdr:col>
      <xdr:colOff>1027784</xdr:colOff>
      <xdr:row>15</xdr:row>
      <xdr:rowOff>157113</xdr:rowOff>
    </xdr:to>
    <xdr:graphicFrame macro="">
      <xdr:nvGraphicFramePr>
        <xdr:cNvPr id="2" name="Chart 1">
          <a:extLst>
            <a:ext uri="{FF2B5EF4-FFF2-40B4-BE49-F238E27FC236}">
              <a16:creationId xmlns:a16="http://schemas.microsoft.com/office/drawing/2014/main" id="{1CD8038F-4BB1-03B1-B724-841A1392FF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634868</xdr:rowOff>
    </xdr:from>
    <xdr:to>
      <xdr:col>6</xdr:col>
      <xdr:colOff>216031</xdr:colOff>
      <xdr:row>16</xdr:row>
      <xdr:rowOff>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13349722-8DB2-E8F4-D303-EBD455CF90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634868"/>
              <a:ext cx="3873631" cy="28703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584200</xdr:colOff>
      <xdr:row>1</xdr:row>
      <xdr:rowOff>38101</xdr:rowOff>
    </xdr:from>
    <xdr:to>
      <xdr:col>5</xdr:col>
      <xdr:colOff>641350</xdr:colOff>
      <xdr:row>11</xdr:row>
      <xdr:rowOff>177801</xdr:rowOff>
    </xdr:to>
    <mc:AlternateContent xmlns:mc="http://schemas.openxmlformats.org/markup-compatibility/2006" xmlns:a14="http://schemas.microsoft.com/office/drawing/2010/main">
      <mc:Choice Requires="a14">
        <xdr:graphicFrame macro="">
          <xdr:nvGraphicFramePr>
            <xdr:cNvPr id="2" name="Geography">
              <a:extLst>
                <a:ext uri="{FF2B5EF4-FFF2-40B4-BE49-F238E27FC236}">
                  <a16:creationId xmlns:a16="http://schemas.microsoft.com/office/drawing/2014/main" id="{248EEE5C-F619-D45A-4509-C334B4C1B6E5}"/>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6121400" y="438151"/>
              <a:ext cx="182880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97367</xdr:colOff>
      <xdr:row>1</xdr:row>
      <xdr:rowOff>13406</xdr:rowOff>
    </xdr:from>
    <xdr:to>
      <xdr:col>8</xdr:col>
      <xdr:colOff>1310922</xdr:colOff>
      <xdr:row>12</xdr:row>
      <xdr:rowOff>38806</xdr:rowOff>
    </xdr:to>
    <mc:AlternateContent xmlns:mc="http://schemas.openxmlformats.org/markup-compatibility/2006" xmlns:a14="http://schemas.microsoft.com/office/drawing/2010/main">
      <mc:Choice Requires="a14">
        <xdr:graphicFrame macro="">
          <xdr:nvGraphicFramePr>
            <xdr:cNvPr id="2" name="Geography 1">
              <a:extLst>
                <a:ext uri="{FF2B5EF4-FFF2-40B4-BE49-F238E27FC236}">
                  <a16:creationId xmlns:a16="http://schemas.microsoft.com/office/drawing/2014/main" id="{603686F1-1568-57D9-2984-A512BD0A52E2}"/>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8147756" y="669573"/>
              <a:ext cx="1820333" cy="20432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hariq ." refreshedDate="45707.801924884261" createdVersion="8" refreshedVersion="8" minRefreshableVersion="3" recordCount="300" xr:uid="{9FA74254-060C-4E5B-9128-68B80EC6D7D2}">
  <cacheSource type="worksheet">
    <worksheetSource name="Anomalies"/>
  </cacheSource>
  <cacheFields count="5">
    <cacheField name="Sales Person" numFmtId="0">
      <sharedItems count="10">
        <s v="Ram Mahesh"/>
        <s v="Brien Boise"/>
        <s v="Husein Augar"/>
        <s v="Carla Molina"/>
        <s v="Curtice Advani"/>
        <s v="Ches Bonnell"/>
        <s v="Gigi Bohling"/>
        <s v="Barr Faughny"/>
        <s v="Gunar Cockshoot"/>
        <s v="Oby Sorrel"/>
      </sharedItems>
    </cacheField>
    <cacheField name="Geography" numFmtId="0">
      <sharedItems count="6">
        <s v="New Zealand"/>
        <s v="USA"/>
        <s v="Canada"/>
        <s v="UK"/>
        <s v="Australia"/>
        <s v="India"/>
      </sharedItems>
    </cacheField>
    <cacheField name="Product" numFmtId="0">
      <sharedItems/>
    </cacheField>
    <cacheField name="Amount" numFmtId="164">
      <sharedItems containsSemiMixedTypes="0" containsString="0" containsNumber="1" containsInteger="1" minValue="0" maxValue="16184" count="268">
        <n v="1624"/>
        <n v="6706"/>
        <n v="959"/>
        <n v="9632"/>
        <n v="2100"/>
        <n v="8869"/>
        <n v="2681"/>
        <n v="5012"/>
        <n v="1281"/>
        <n v="4991"/>
        <n v="1785"/>
        <n v="3983"/>
        <n v="2646"/>
        <n v="252"/>
        <n v="2464"/>
        <n v="2114"/>
        <n v="7693"/>
        <n v="15610"/>
        <n v="336"/>
        <n v="9443"/>
        <n v="8155"/>
        <n v="1701"/>
        <n v="2205"/>
        <n v="1771"/>
        <n v="10311"/>
        <n v="21"/>
        <n v="1974"/>
        <n v="6314"/>
        <n v="4683"/>
        <n v="6398"/>
        <n v="553"/>
        <n v="7021"/>
        <n v="5817"/>
        <n v="3976"/>
        <n v="1134"/>
        <n v="6027"/>
        <n v="1904"/>
        <n v="3262"/>
        <n v="2289"/>
        <n v="6986"/>
        <n v="4417"/>
        <n v="1442"/>
        <n v="2415"/>
        <n v="238"/>
        <n v="4949"/>
        <n v="5075"/>
        <n v="9198"/>
        <n v="3339"/>
        <n v="5019"/>
        <n v="16184"/>
        <n v="497"/>
        <n v="8211"/>
        <n v="6580"/>
        <n v="4760"/>
        <n v="5439"/>
        <n v="1463"/>
        <n v="7777"/>
        <n v="1085"/>
        <n v="182"/>
        <n v="4242"/>
        <n v="6118"/>
        <n v="2317"/>
        <n v="938"/>
        <n v="9709"/>
        <n v="4487"/>
        <n v="4018"/>
        <n v="861"/>
        <n v="5586"/>
        <n v="2226"/>
        <n v="14329"/>
        <n v="8463"/>
        <n v="2891"/>
        <n v="3773"/>
        <n v="854"/>
        <n v="4970"/>
        <n v="98"/>
        <n v="13391"/>
        <n v="8890"/>
        <n v="56"/>
        <n v="3808"/>
        <n v="63"/>
        <n v="7812"/>
        <n v="973"/>
        <n v="567"/>
        <n v="2471"/>
        <n v="7189"/>
        <n v="7455"/>
        <n v="3108"/>
        <n v="469"/>
        <n v="2737"/>
        <n v="4305"/>
        <n v="2408"/>
        <n v="12348"/>
        <n v="3689"/>
        <n v="2870"/>
        <n v="798"/>
        <n v="2933"/>
        <n v="2744"/>
        <n v="9772"/>
        <n v="1568"/>
        <n v="11417"/>
        <n v="6748"/>
        <n v="1407"/>
        <n v="2023"/>
        <n v="5236"/>
        <n v="1925"/>
        <n v="6608"/>
        <n v="8008"/>
        <n v="1428"/>
        <n v="525"/>
        <n v="1505"/>
        <n v="6755"/>
        <n v="11571"/>
        <n v="2541"/>
        <n v="1526"/>
        <n v="6125"/>
        <n v="847"/>
        <n v="4753"/>
        <n v="2793"/>
        <n v="4606"/>
        <n v="5551"/>
        <n v="6657"/>
        <n v="4438"/>
        <n v="168"/>
        <n v="6391"/>
        <n v="518"/>
        <n v="5677"/>
        <n v="6048"/>
        <n v="3752"/>
        <n v="4480"/>
        <n v="259"/>
        <n v="42"/>
        <n v="2478"/>
        <n v="7847"/>
        <n v="9926"/>
        <n v="819"/>
        <n v="3052"/>
        <n v="6832"/>
        <n v="2016"/>
        <n v="7322"/>
        <n v="357"/>
        <n v="3192"/>
        <n v="8435"/>
        <n v="0"/>
        <n v="8862"/>
        <n v="3556"/>
        <n v="7280"/>
        <n v="3402"/>
        <n v="4592"/>
        <n v="7833"/>
        <n v="7651"/>
        <n v="2275"/>
        <n v="5670"/>
        <n v="2135"/>
        <n v="2779"/>
        <n v="12950"/>
        <n v="3794"/>
        <n v="2583"/>
        <n v="4585"/>
        <n v="1652"/>
        <n v="2009"/>
        <n v="3388"/>
        <n v="623"/>
        <n v="10073"/>
        <n v="1561"/>
        <n v="11522"/>
        <n v="3059"/>
        <n v="2324"/>
        <n v="4956"/>
        <n v="5355"/>
        <n v="7259"/>
        <n v="6279"/>
        <n v="3864"/>
        <n v="6146"/>
        <n v="2639"/>
        <n v="1890"/>
        <n v="1932"/>
        <n v="6300"/>
        <n v="560"/>
        <n v="2856"/>
        <n v="707"/>
        <n v="3598"/>
        <n v="6853"/>
        <n v="4725"/>
        <n v="10304"/>
        <n v="1274"/>
        <n v="3101"/>
        <n v="1057"/>
        <n v="5306"/>
        <n v="1778"/>
        <n v="1638"/>
        <n v="154"/>
        <n v="9835"/>
        <n v="7273"/>
        <n v="6909"/>
        <n v="3920"/>
        <n v="4858"/>
        <n v="3549"/>
        <n v="966"/>
        <n v="385"/>
        <n v="2219"/>
        <n v="2954"/>
        <n v="280"/>
        <n v="4802"/>
        <n v="4137"/>
        <n v="9051"/>
        <n v="2919"/>
        <n v="5915"/>
        <n v="2562"/>
        <n v="8813"/>
        <n v="6111"/>
        <n v="3507"/>
        <n v="4319"/>
        <n v="609"/>
        <n v="6370"/>
        <n v="5474"/>
        <n v="3164"/>
        <n v="1302"/>
        <n v="7308"/>
        <n v="6132"/>
        <n v="3472"/>
        <n v="9660"/>
        <n v="2436"/>
        <n v="9506"/>
        <n v="245"/>
        <n v="2702"/>
        <n v="700"/>
        <n v="3759"/>
        <n v="1589"/>
        <n v="5194"/>
        <n v="945"/>
        <n v="1988"/>
        <n v="6734"/>
        <n v="217"/>
        <n v="4424"/>
        <n v="189"/>
        <n v="490"/>
        <n v="434"/>
        <n v="10129"/>
        <n v="6433"/>
        <n v="2212"/>
        <n v="3829"/>
        <n v="5775"/>
        <n v="1071"/>
        <n v="2863"/>
        <n v="1617"/>
        <n v="6818"/>
        <n v="3094"/>
        <n v="2989"/>
        <n v="2268"/>
        <n v="7511"/>
        <n v="4326"/>
        <n v="4935"/>
        <n v="4781"/>
        <n v="7483"/>
        <n v="6860"/>
        <n v="9002"/>
        <n v="1400"/>
        <n v="4053"/>
        <n v="2149"/>
        <n v="3640"/>
        <n v="630"/>
        <n v="2429"/>
        <n v="2142"/>
        <n v="6454"/>
        <n v="8841"/>
        <n v="714"/>
        <n v="3850"/>
      </sharedItems>
    </cacheField>
    <cacheField name="Units" numFmtId="3">
      <sharedItems containsSemiMixedTypes="0" containsString="0" containsNumber="1" containsInteger="1" minValue="0" maxValue="52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hariq ." refreshedDate="45708.511472106482" createdVersion="8" refreshedVersion="8" minRefreshableVersion="3" recordCount="300" xr:uid="{A1DCA532-DD81-4BF2-9CB4-15E1FF75B080}">
  <cacheSource type="worksheet">
    <worksheetSource name="Data"/>
  </cacheSource>
  <cacheFields count="5">
    <cacheField name="Sales Person" numFmtId="0">
      <sharedItems count="10">
        <s v="Ram Mahesh"/>
        <s v="Brien Boise"/>
        <s v="Husein Augar"/>
        <s v="Carla Molina"/>
        <s v="Curtice Advani"/>
        <s v="Ches Bonnell"/>
        <s v="Gigi Bohling"/>
        <s v="Barr Faughny"/>
        <s v="Gunar Cockshoot"/>
        <s v="Oby Sorrel"/>
      </sharedItems>
    </cacheField>
    <cacheField name="Geography" numFmtId="0">
      <sharedItems count="6">
        <s v="New Zealand"/>
        <s v="USA"/>
        <s v="Canada"/>
        <s v="UK"/>
        <s v="Australia"/>
        <s v="India"/>
      </sharedItems>
    </cacheField>
    <cacheField name="Product" numFmtId="0">
      <sharedItems/>
    </cacheField>
    <cacheField name="Amount" numFmtId="164">
      <sharedItems containsSemiMixedTypes="0" containsString="0" containsNumber="1" containsInteger="1" minValue="0" maxValue="16184"/>
    </cacheField>
    <cacheField name="Units" numFmtId="3">
      <sharedItems containsSemiMixedTypes="0" containsString="0" containsNumber="1" containsInteger="1" minValue="0" maxValue="525"/>
    </cacheField>
  </cacheFields>
  <extLst>
    <ext xmlns:x14="http://schemas.microsoft.com/office/spreadsheetml/2009/9/main" uri="{725AE2AE-9491-48be-B2B4-4EB974FC3084}">
      <x14:pivotCacheDefinition pivotCacheId="83882519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hariq ." refreshedDate="45708.657182754629" backgroundQuery="1" createdVersion="8" refreshedVersion="8" minRefreshableVersion="3" recordCount="0" supportSubquery="1" supportAdvancedDrill="1" xr:uid="{5B5F0932-1827-4197-A596-603A87F98F4E}">
  <cacheSource type="external" connectionId="2"/>
  <cacheFields count="2">
    <cacheField name="[Data].[Product].[Product]" caption="Product" numFmtId="0" hierarchy="2" level="1">
      <sharedItems count="10">
        <s v="85% Dark Bars"/>
        <s v="After Nines"/>
        <s v="Baker's Choco Chips"/>
        <s v="Choco Coated Almonds"/>
        <s v="Drinking Coco"/>
        <s v="Fruit &amp; Nut Bars"/>
        <s v="Mint Chip Choco"/>
        <s v="Peanut Butter Cubes"/>
        <s v="Raspberry Choco"/>
        <s v="Spicy Special Slims"/>
      </sharedItems>
    </cacheField>
    <cacheField name="[Measures].[Sales per unit]" caption="Sales per unit" numFmtId="0" hierarchy="19" level="32767"/>
  </cacheFields>
  <cacheHierarchies count="2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Data9].[Sales Person]" caption="Sales Person" attribute="1" defaultMemberUniqueName="[Data9].[Sales Person].[All]" allUniqueName="[Data9].[Sales Person].[All]" dimensionUniqueName="[Data9]" displayFolder="" count="0" memberValueDatatype="130" unbalanced="0"/>
    <cacheHierarchy uniqueName="[Data9].[Geography]" caption="Geography" attribute="1" defaultMemberUniqueName="[Data9].[Geography].[All]" allUniqueName="[Data9].[Geography].[All]" dimensionUniqueName="[Data9]" displayFolder="" count="0" memberValueDatatype="130" unbalanced="0"/>
    <cacheHierarchy uniqueName="[Data9].[Product]" caption="Product" attribute="1" defaultMemberUniqueName="[Data9].[Product].[All]" allUniqueName="[Data9].[Product].[All]" dimensionUniqueName="[Data9]" displayFolder="" count="0" memberValueDatatype="130" unbalanced="0"/>
    <cacheHierarchy uniqueName="[Data9].[Amount]" caption="Amount" attribute="1" defaultMemberUniqueName="[Data9].[Amount].[All]" allUniqueName="[Data9].[Amount].[All]" dimensionUniqueName="[Data9]" displayFolder="" count="0" memberValueDatatype="20" unbalanced="0"/>
    <cacheHierarchy uniqueName="[Data9].[Units]" caption="Units" attribute="1" defaultMemberUniqueName="[Data9].[Units].[All]" allUniqueName="[Data9].[Units].[All]" dimensionUniqueName="[Data9]" displayFolder="" count="0" memberValueDatatype="20" unbalanced="0"/>
    <cacheHierarchy uniqueName="[Data9].[Cost Per Unit]" caption="Cost Per Unit" attribute="1" defaultMemberUniqueName="[Data9].[Cost Per Unit].[All]" allUniqueName="[Data9].[Cost Per Unit].[All]" dimensionUniqueName="[Data9]" displayFolder="" count="0" memberValueDatatype="130" unbalanced="0"/>
    <cacheHierarchy uniqueName="[Data9].[Cost]" caption="Cost" attribute="1" defaultMemberUniqueName="[Data9].[Cost].[All]" allUniqueName="[Data9].[Cost].[All]" dimensionUniqueName="[Data9]" displayFolder="" count="0" memberValueDatatype="20" unbalanced="0"/>
    <cacheHierarchy uniqueName="[Measures].[Sum of Amount 2]" caption="Sum of Amount 2" measure="1" displayFolder="" measureGroup="Data9" count="0">
      <extLst>
        <ext xmlns:x15="http://schemas.microsoft.com/office/spreadsheetml/2010/11/main" uri="{B97F6D7D-B522-45F9-BDA1-12C45D357490}">
          <x15:cacheHierarchy aggregatedColumn="10"/>
        </ext>
      </extLst>
    </cacheHierarchy>
    <cacheHierarchy uniqueName="[Measures].[Sum of Cost]" caption="Sum of Cost" measure="1" displayFolder="" measureGroup="Data9" count="0">
      <extLst>
        <ext xmlns:x15="http://schemas.microsoft.com/office/spreadsheetml/2010/11/main" uri="{B97F6D7D-B522-45F9-BDA1-12C45D357490}">
          <x15:cacheHierarchy aggregatedColumn="13"/>
        </ext>
      </extLst>
    </cacheHierarchy>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2]" caption="Sum of Cost 2"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oneField="1">
      <fieldsUsage count="1">
        <fieldUsage x="1"/>
      </fieldsUsage>
    </cacheHierarchy>
    <cacheHierarchy uniqueName="[Measures].[mnh]" caption="mnh" measure="1" displayFolder="" measureGroup="Data" count="0"/>
    <cacheHierarchy uniqueName="[Measures].[Profit percentage]" caption="Profit percentage" measure="1" displayFolder="" measureGroup="Data" count="0"/>
    <cacheHierarchy uniqueName="[Measures].[__XL_Count Data9]" caption="__XL_Count Data9" measure="1" displayFolder="" measureGroup="Data9" count="0" hidden="1"/>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3">
    <dimension name="Data" uniqueName="[Data]" caption="Data"/>
    <dimension name="Data9" uniqueName="[Data9]" caption="Data9"/>
    <dimension measure="1" name="Measures" uniqueName="[Measures]" caption="Measures"/>
  </dimensions>
  <measureGroups count="2">
    <measureGroup name="Data" caption="Data"/>
    <measureGroup name="Data9" caption="Data9"/>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hariq ." refreshedDate="45708.669810185187" backgroundQuery="1" createdVersion="8" refreshedVersion="8" minRefreshableVersion="3" recordCount="0" supportSubquery="1" supportAdvancedDrill="1" xr:uid="{CEC835E4-D037-4B9B-B499-CD4A63656217}">
  <cacheSource type="external" connectionId="2"/>
  <cacheFields count="2">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mnh]" caption="mnh" numFmtId="0" hierarchy="20" level="32767"/>
  </cacheFields>
  <cacheHierarchies count="2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Data9].[Sales Person]" caption="Sales Person" attribute="1" defaultMemberUniqueName="[Data9].[Sales Person].[All]" allUniqueName="[Data9].[Sales Person].[All]" dimensionUniqueName="[Data9]" displayFolder="" count="0" memberValueDatatype="130" unbalanced="0"/>
    <cacheHierarchy uniqueName="[Data9].[Geography]" caption="Geography" attribute="1" defaultMemberUniqueName="[Data9].[Geography].[All]" allUniqueName="[Data9].[Geography].[All]" dimensionUniqueName="[Data9]" displayFolder="" count="0" memberValueDatatype="130" unbalanced="0"/>
    <cacheHierarchy uniqueName="[Data9].[Product]" caption="Product" attribute="1" defaultMemberUniqueName="[Data9].[Product].[All]" allUniqueName="[Data9].[Product].[All]" dimensionUniqueName="[Data9]" displayFolder="" count="0" memberValueDatatype="130" unbalanced="0"/>
    <cacheHierarchy uniqueName="[Data9].[Amount]" caption="Amount" attribute="1" defaultMemberUniqueName="[Data9].[Amount].[All]" allUniqueName="[Data9].[Amount].[All]" dimensionUniqueName="[Data9]" displayFolder="" count="0" memberValueDatatype="20" unbalanced="0"/>
    <cacheHierarchy uniqueName="[Data9].[Units]" caption="Units" attribute="1" defaultMemberUniqueName="[Data9].[Units].[All]" allUniqueName="[Data9].[Units].[All]" dimensionUniqueName="[Data9]" displayFolder="" count="0" memberValueDatatype="20" unbalanced="0"/>
    <cacheHierarchy uniqueName="[Data9].[Cost Per Unit]" caption="Cost Per Unit" attribute="1" defaultMemberUniqueName="[Data9].[Cost Per Unit].[All]" allUniqueName="[Data9].[Cost Per Unit].[All]" dimensionUniqueName="[Data9]" displayFolder="" count="0" memberValueDatatype="130" unbalanced="0"/>
    <cacheHierarchy uniqueName="[Data9].[Cost]" caption="Cost" attribute="1" defaultMemberUniqueName="[Data9].[Cost].[All]" allUniqueName="[Data9].[Cost].[All]" dimensionUniqueName="[Data9]" displayFolder="" count="0" memberValueDatatype="20" unbalanced="0"/>
    <cacheHierarchy uniqueName="[Measures].[Sum of Amount 2]" caption="Sum of Amount 2" measure="1" displayFolder="" measureGroup="Data9" count="0">
      <extLst>
        <ext xmlns:x15="http://schemas.microsoft.com/office/spreadsheetml/2010/11/main" uri="{B97F6D7D-B522-45F9-BDA1-12C45D357490}">
          <x15:cacheHierarchy aggregatedColumn="10"/>
        </ext>
      </extLst>
    </cacheHierarchy>
    <cacheHierarchy uniqueName="[Measures].[Sum of Cost]" caption="Sum of Cost" measure="1" displayFolder="" measureGroup="Data9" count="0">
      <extLst>
        <ext xmlns:x15="http://schemas.microsoft.com/office/spreadsheetml/2010/11/main" uri="{B97F6D7D-B522-45F9-BDA1-12C45D357490}">
          <x15:cacheHierarchy aggregatedColumn="13"/>
        </ext>
      </extLst>
    </cacheHierarchy>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2]" caption="Sum of Cost 2"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mnh]" caption="mnh" measure="1" displayFolder="" measureGroup="Data" count="0" oneField="1">
      <fieldsUsage count="1">
        <fieldUsage x="1"/>
      </fieldsUsage>
    </cacheHierarchy>
    <cacheHierarchy uniqueName="[Measures].[Profit percentage]" caption="Profit percentage" measure="1" displayFolder="" measureGroup="Data" count="0"/>
    <cacheHierarchy uniqueName="[Measures].[__XL_Count Data9]" caption="__XL_Count Data9" measure="1" displayFolder="" measureGroup="Data9" count="0" hidden="1"/>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3">
    <dimension name="Data" uniqueName="[Data]" caption="Data"/>
    <dimension name="Data9" uniqueName="[Data9]" caption="Data9"/>
    <dimension measure="1" name="Measures" uniqueName="[Measures]" caption="Measures"/>
  </dimensions>
  <measureGroups count="2">
    <measureGroup name="Data" caption="Data"/>
    <measureGroup name="Data9" caption="Data9"/>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hariq ." refreshedDate="45708.796542824071" backgroundQuery="1" createdVersion="8" refreshedVersion="8" minRefreshableVersion="3" recordCount="0" supportSubquery="1" supportAdvancedDrill="1" xr:uid="{CBCBB075-A338-4B21-A5EC-77F9FDA911C7}">
  <cacheSource type="external" connectionId="2"/>
  <cacheFields count="6">
    <cacheField name="[Data].[Product].[Product]" caption="Product" numFmtId="0" hierarchy="2" level="1">
      <sharedItems count="20">
        <s v="50% Dark Bites"/>
        <s v="70% Dark Bites"/>
        <s v="85% Dark Bars"/>
        <s v="99% Dark &amp; Pure"/>
        <s v="After Nines"/>
        <s v="Almond Choco"/>
        <s v="Baker's Choco Chips"/>
        <s v="Caramel Stuffed Bars"/>
        <s v="Drinking Coco"/>
        <s v="Eclairs"/>
        <s v="Fruit &amp; Nut Bars"/>
        <s v="Manuka Honey Choco"/>
        <s v="Mint Chip Choco"/>
        <s v="Orange Choco"/>
        <s v="Organic Choco Syrup"/>
        <s v="Peanut Butter Cubes"/>
        <s v="Raspberry Choco"/>
        <s v="Smooth Sliky Salty"/>
        <s v="Spicy Special Slims"/>
        <s v="White Choc"/>
      </sharedItems>
    </cacheField>
    <cacheField name="[Measures].[Sum of Amount]" caption="Sum of Amount" numFmtId="0" hierarchy="16" level="32767"/>
    <cacheField name="[Measures].[Sum of Units]" caption="Sum of Units" numFmtId="0" hierarchy="17" level="32767"/>
    <cacheField name="[Measures].[mnh]" caption="mnh" numFmtId="0" hierarchy="20" level="32767"/>
    <cacheField name="[Measures].[Profit percentage]" caption="Profit percentage" numFmtId="0" hierarchy="21" level="32767"/>
    <cacheField name="[Data].[Geography].[Geography]" caption="Geography" numFmtId="0" hierarchy="1" level="1">
      <sharedItems containsSemiMixedTypes="0" containsNonDate="0" containsString="0"/>
    </cacheField>
  </cacheFields>
  <cacheHierarchies count="2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fieldsUsage count="2">
        <fieldUsage x="-1"/>
        <fieldUsage x="5"/>
      </fieldsUsage>
    </cacheHierarchy>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Data9].[Sales Person]" caption="Sales Person" attribute="1" defaultMemberUniqueName="[Data9].[Sales Person].[All]" allUniqueName="[Data9].[Sales Person].[All]" dimensionUniqueName="[Data9]" displayFolder="" count="0" memberValueDatatype="130" unbalanced="0"/>
    <cacheHierarchy uniqueName="[Data9].[Geography]" caption="Geography" attribute="1" defaultMemberUniqueName="[Data9].[Geography].[All]" allUniqueName="[Data9].[Geography].[All]" dimensionUniqueName="[Data9]" displayFolder="" count="0" memberValueDatatype="130" unbalanced="0"/>
    <cacheHierarchy uniqueName="[Data9].[Product]" caption="Product" attribute="1" defaultMemberUniqueName="[Data9].[Product].[All]" allUniqueName="[Data9].[Product].[All]" dimensionUniqueName="[Data9]" displayFolder="" count="0" memberValueDatatype="130" unbalanced="0"/>
    <cacheHierarchy uniqueName="[Data9].[Amount]" caption="Amount" attribute="1" defaultMemberUniqueName="[Data9].[Amount].[All]" allUniqueName="[Data9].[Amount].[All]" dimensionUniqueName="[Data9]" displayFolder="" count="0" memberValueDatatype="20" unbalanced="0"/>
    <cacheHierarchy uniqueName="[Data9].[Units]" caption="Units" attribute="1" defaultMemberUniqueName="[Data9].[Units].[All]" allUniqueName="[Data9].[Units].[All]" dimensionUniqueName="[Data9]" displayFolder="" count="0" memberValueDatatype="20" unbalanced="0"/>
    <cacheHierarchy uniqueName="[Data9].[Cost Per Unit]" caption="Cost Per Unit" attribute="1" defaultMemberUniqueName="[Data9].[Cost Per Unit].[All]" allUniqueName="[Data9].[Cost Per Unit].[All]" dimensionUniqueName="[Data9]" displayFolder="" count="0" memberValueDatatype="130" unbalanced="0"/>
    <cacheHierarchy uniqueName="[Data9].[Cost]" caption="Cost" attribute="1" defaultMemberUniqueName="[Data9].[Cost].[All]" allUniqueName="[Data9].[Cost].[All]" dimensionUniqueName="[Data9]" displayFolder="" count="0" memberValueDatatype="20" unbalanced="0"/>
    <cacheHierarchy uniqueName="[Measures].[Sum of Amount 2]" caption="Sum of Amount 2" measure="1" displayFolder="" measureGroup="Data9" count="0">
      <extLst>
        <ext xmlns:x15="http://schemas.microsoft.com/office/spreadsheetml/2010/11/main" uri="{B97F6D7D-B522-45F9-BDA1-12C45D357490}">
          <x15:cacheHierarchy aggregatedColumn="10"/>
        </ext>
      </extLst>
    </cacheHierarchy>
    <cacheHierarchy uniqueName="[Measures].[Sum of Cost]" caption="Sum of Cost" measure="1" displayFolder="" measureGroup="Data9" count="0">
      <extLst>
        <ext xmlns:x15="http://schemas.microsoft.com/office/spreadsheetml/2010/11/main" uri="{B97F6D7D-B522-45F9-BDA1-12C45D357490}">
          <x15:cacheHierarchy aggregatedColumn="13"/>
        </ext>
      </extLst>
    </cacheHierarchy>
    <cacheHierarchy uniqueName="[Measures].[Sum of Amount]" caption="Sum of Amount" measure="1" displayFolder="" measureGroup="Data" count="0" oneField="1">
      <fieldsUsage count="1">
        <fieldUsage x="1"/>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oneField="1">
      <fieldsUsage count="1">
        <fieldUsage x="2"/>
      </fieldsUsage>
      <extLst>
        <ext xmlns:x15="http://schemas.microsoft.com/office/spreadsheetml/2010/11/main" uri="{B97F6D7D-B522-45F9-BDA1-12C45D357490}">
          <x15:cacheHierarchy aggregatedColumn="4"/>
        </ext>
      </extLst>
    </cacheHierarchy>
    <cacheHierarchy uniqueName="[Measures].[Sum of Cost 2]" caption="Sum of Cost 2"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mnh]" caption="mnh" measure="1" displayFolder="" measureGroup="Data" count="0" oneField="1">
      <fieldsUsage count="1">
        <fieldUsage x="3"/>
      </fieldsUsage>
    </cacheHierarchy>
    <cacheHierarchy uniqueName="[Measures].[Profit percentage]" caption="Profit percentage" measure="1" displayFolder="" measureGroup="Data" count="0" oneField="1">
      <fieldsUsage count="1">
        <fieldUsage x="4"/>
      </fieldsUsage>
    </cacheHierarchy>
    <cacheHierarchy uniqueName="[Measures].[__XL_Count Data9]" caption="__XL_Count Data9" measure="1" displayFolder="" measureGroup="Data9" count="0" hidden="1"/>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3">
    <dimension name="Data" uniqueName="[Data]" caption="Data"/>
    <dimension name="Data9" uniqueName="[Data9]" caption="Data9"/>
    <dimension measure="1" name="Measures" uniqueName="[Measures]" caption="Measures"/>
  </dimensions>
  <measureGroups count="2">
    <measureGroup name="Data" caption="Data"/>
    <measureGroup name="Data9" caption="Data9"/>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hariq ." refreshedDate="45708.669808333332" backgroundQuery="1" createdVersion="3" refreshedVersion="8" minRefreshableVersion="3" recordCount="0" supportSubquery="1" supportAdvancedDrill="1" xr:uid="{74DC81C5-E334-4617-B11B-F0CE19D0C567}">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Data9].[Sales Person]" caption="Sales Person" attribute="1" defaultMemberUniqueName="[Data9].[Sales Person].[All]" allUniqueName="[Data9].[Sales Person].[All]" dimensionUniqueName="[Data9]" displayFolder="" count="0" memberValueDatatype="130" unbalanced="0"/>
    <cacheHierarchy uniqueName="[Data9].[Geography]" caption="Geography" attribute="1" defaultMemberUniqueName="[Data9].[Geography].[All]" allUniqueName="[Data9].[Geography].[All]" dimensionUniqueName="[Data9]" displayFolder="" count="0" memberValueDatatype="130" unbalanced="0"/>
    <cacheHierarchy uniqueName="[Data9].[Product]" caption="Product" attribute="1" defaultMemberUniqueName="[Data9].[Product].[All]" allUniqueName="[Data9].[Product].[All]" dimensionUniqueName="[Data9]" displayFolder="" count="0" memberValueDatatype="130" unbalanced="0"/>
    <cacheHierarchy uniqueName="[Data9].[Amount]" caption="Amount" attribute="1" defaultMemberUniqueName="[Data9].[Amount].[All]" allUniqueName="[Data9].[Amount].[All]" dimensionUniqueName="[Data9]" displayFolder="" count="0" memberValueDatatype="20" unbalanced="0"/>
    <cacheHierarchy uniqueName="[Data9].[Units]" caption="Units" attribute="1" defaultMemberUniqueName="[Data9].[Units].[All]" allUniqueName="[Data9].[Units].[All]" dimensionUniqueName="[Data9]" displayFolder="" count="0" memberValueDatatype="20" unbalanced="0"/>
    <cacheHierarchy uniqueName="[Data9].[Cost Per Unit]" caption="Cost Per Unit" attribute="1" defaultMemberUniqueName="[Data9].[Cost Per Unit].[All]" allUniqueName="[Data9].[Cost Per Unit].[All]" dimensionUniqueName="[Data9]" displayFolder="" count="0" memberValueDatatype="130" unbalanced="0"/>
    <cacheHierarchy uniqueName="[Data9].[Cost]" caption="Cost" attribute="1" defaultMemberUniqueName="[Data9].[Cost].[All]" allUniqueName="[Data9].[Cost].[All]" dimensionUniqueName="[Data9]" displayFolder="" count="0" memberValueDatatype="20" unbalanced="0"/>
    <cacheHierarchy uniqueName="[Measures].[Sum of Amount 2]" caption="Sum of Amount 2" measure="1" displayFolder="" measureGroup="Data9" count="0">
      <extLst>
        <ext xmlns:x15="http://schemas.microsoft.com/office/spreadsheetml/2010/11/main" uri="{B97F6D7D-B522-45F9-BDA1-12C45D357490}">
          <x15:cacheHierarchy aggregatedColumn="10"/>
        </ext>
      </extLst>
    </cacheHierarchy>
    <cacheHierarchy uniqueName="[Measures].[Sum of Cost]" caption="Sum of Cost" measure="1" displayFolder="" measureGroup="Data9" count="0">
      <extLst>
        <ext xmlns:x15="http://schemas.microsoft.com/office/spreadsheetml/2010/11/main" uri="{B97F6D7D-B522-45F9-BDA1-12C45D357490}">
          <x15:cacheHierarchy aggregatedColumn="13"/>
        </ext>
      </extLst>
    </cacheHierarchy>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2]" caption="Sum of Cost 2"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mnh]" caption="mnh" measure="1" displayFolder="" measureGroup="Data" count="0"/>
    <cacheHierarchy uniqueName="[Measures].[__XL_Count Data9]" caption="__XL_Count Data9" measure="1" displayFolder="" measureGroup="Data9" count="0" hidden="1"/>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0165112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s v="70% Dark Bites"/>
    <x v="0"/>
    <n v="114"/>
  </r>
  <r>
    <x v="1"/>
    <x v="1"/>
    <s v="Choco Coated Almonds"/>
    <x v="1"/>
    <n v="459"/>
  </r>
  <r>
    <x v="2"/>
    <x v="1"/>
    <s v="Almond Choco"/>
    <x v="2"/>
    <n v="147"/>
  </r>
  <r>
    <x v="3"/>
    <x v="2"/>
    <s v="Drinking Coco"/>
    <x v="3"/>
    <n v="288"/>
  </r>
  <r>
    <x v="4"/>
    <x v="3"/>
    <s v="White Choc"/>
    <x v="4"/>
    <n v="414"/>
  </r>
  <r>
    <x v="0"/>
    <x v="1"/>
    <s v="Peanut Butter Cubes"/>
    <x v="5"/>
    <n v="432"/>
  </r>
  <r>
    <x v="4"/>
    <x v="4"/>
    <s v="Smooth Sliky Salty"/>
    <x v="6"/>
    <n v="54"/>
  </r>
  <r>
    <x v="1"/>
    <x v="1"/>
    <s v="After Nines"/>
    <x v="7"/>
    <n v="210"/>
  </r>
  <r>
    <x v="5"/>
    <x v="4"/>
    <s v="50% Dark Bites"/>
    <x v="8"/>
    <n v="75"/>
  </r>
  <r>
    <x v="6"/>
    <x v="0"/>
    <s v="50% Dark Bites"/>
    <x v="9"/>
    <n v="12"/>
  </r>
  <r>
    <x v="7"/>
    <x v="3"/>
    <s v="White Choc"/>
    <x v="10"/>
    <n v="462"/>
  </r>
  <r>
    <x v="8"/>
    <x v="0"/>
    <s v="Eclairs"/>
    <x v="11"/>
    <n v="144"/>
  </r>
  <r>
    <x v="2"/>
    <x v="4"/>
    <s v="Mint Chip Choco"/>
    <x v="12"/>
    <n v="120"/>
  </r>
  <r>
    <x v="7"/>
    <x v="5"/>
    <s v="Milk Bars"/>
    <x v="13"/>
    <n v="54"/>
  </r>
  <r>
    <x v="8"/>
    <x v="1"/>
    <s v="White Choc"/>
    <x v="14"/>
    <n v="234"/>
  </r>
  <r>
    <x v="8"/>
    <x v="1"/>
    <s v="Manuka Honey Choco"/>
    <x v="15"/>
    <n v="66"/>
  </r>
  <r>
    <x v="4"/>
    <x v="0"/>
    <s v="Smooth Sliky Salty"/>
    <x v="16"/>
    <n v="87"/>
  </r>
  <r>
    <x v="6"/>
    <x v="5"/>
    <s v="Orange Choco"/>
    <x v="17"/>
    <n v="339"/>
  </r>
  <r>
    <x v="3"/>
    <x v="5"/>
    <s v="After Nines"/>
    <x v="18"/>
    <n v="144"/>
  </r>
  <r>
    <x v="7"/>
    <x v="3"/>
    <s v="Orange Choco"/>
    <x v="19"/>
    <n v="162"/>
  </r>
  <r>
    <x v="2"/>
    <x v="5"/>
    <s v="Fruit &amp; Nut Bars"/>
    <x v="20"/>
    <n v="90"/>
  </r>
  <r>
    <x v="1"/>
    <x v="4"/>
    <s v="Fruit &amp; Nut Bars"/>
    <x v="21"/>
    <n v="234"/>
  </r>
  <r>
    <x v="9"/>
    <x v="4"/>
    <s v="After Nines"/>
    <x v="22"/>
    <n v="141"/>
  </r>
  <r>
    <x v="1"/>
    <x v="0"/>
    <s v="99% Dark &amp; Pure"/>
    <x v="23"/>
    <n v="204"/>
  </r>
  <r>
    <x v="3"/>
    <x v="1"/>
    <s v="Raspberry Choco"/>
    <x v="15"/>
    <n v="186"/>
  </r>
  <r>
    <x v="3"/>
    <x v="2"/>
    <s v="Milk Bars"/>
    <x v="24"/>
    <n v="231"/>
  </r>
  <r>
    <x v="8"/>
    <x v="3"/>
    <s v="Mint Chip Choco"/>
    <x v="25"/>
    <n v="168"/>
  </r>
  <r>
    <x v="9"/>
    <x v="1"/>
    <s v="Orange Choco"/>
    <x v="26"/>
    <n v="195"/>
  </r>
  <r>
    <x v="6"/>
    <x v="2"/>
    <s v="Fruit &amp; Nut Bars"/>
    <x v="27"/>
    <n v="15"/>
  </r>
  <r>
    <x v="9"/>
    <x v="0"/>
    <s v="Fruit &amp; Nut Bars"/>
    <x v="28"/>
    <n v="30"/>
  </r>
  <r>
    <x v="3"/>
    <x v="0"/>
    <s v="85% Dark Bars"/>
    <x v="29"/>
    <n v="102"/>
  </r>
  <r>
    <x v="7"/>
    <x v="1"/>
    <s v="99% Dark &amp; Pure"/>
    <x v="30"/>
    <n v="15"/>
  </r>
  <r>
    <x v="1"/>
    <x v="3"/>
    <s v="70% Dark Bites"/>
    <x v="31"/>
    <n v="183"/>
  </r>
  <r>
    <x v="0"/>
    <x v="3"/>
    <s v="After Nines"/>
    <x v="32"/>
    <n v="12"/>
  </r>
  <r>
    <x v="3"/>
    <x v="3"/>
    <s v="50% Dark Bites"/>
    <x v="33"/>
    <n v="72"/>
  </r>
  <r>
    <x v="4"/>
    <x v="4"/>
    <s v="Organic Choco Syrup"/>
    <x v="34"/>
    <n v="282"/>
  </r>
  <r>
    <x v="7"/>
    <x v="3"/>
    <s v="Caramel Stuffed Bars"/>
    <x v="35"/>
    <n v="144"/>
  </r>
  <r>
    <x v="4"/>
    <x v="0"/>
    <s v="Mint Chip Choco"/>
    <x v="36"/>
    <n v="405"/>
  </r>
  <r>
    <x v="5"/>
    <x v="5"/>
    <s v="Choco Coated Almonds"/>
    <x v="37"/>
    <n v="75"/>
  </r>
  <r>
    <x v="0"/>
    <x v="5"/>
    <s v="Organic Choco Syrup"/>
    <x v="38"/>
    <n v="135"/>
  </r>
  <r>
    <x v="6"/>
    <x v="5"/>
    <s v="Organic Choco Syrup"/>
    <x v="39"/>
    <n v="21"/>
  </r>
  <r>
    <x v="7"/>
    <x v="4"/>
    <s v="Fruit &amp; Nut Bars"/>
    <x v="40"/>
    <n v="153"/>
  </r>
  <r>
    <x v="4"/>
    <x v="5"/>
    <s v="Raspberry Choco"/>
    <x v="41"/>
    <n v="15"/>
  </r>
  <r>
    <x v="8"/>
    <x v="1"/>
    <s v="50% Dark Bites"/>
    <x v="42"/>
    <n v="255"/>
  </r>
  <r>
    <x v="7"/>
    <x v="0"/>
    <s v="99% Dark &amp; Pure"/>
    <x v="43"/>
    <n v="18"/>
  </r>
  <r>
    <x v="4"/>
    <x v="0"/>
    <s v="Fruit &amp; Nut Bars"/>
    <x v="44"/>
    <n v="189"/>
  </r>
  <r>
    <x v="6"/>
    <x v="4"/>
    <s v="Choco Coated Almonds"/>
    <x v="45"/>
    <n v="21"/>
  </r>
  <r>
    <x v="8"/>
    <x v="2"/>
    <s v="Mint Chip Choco"/>
    <x v="46"/>
    <n v="36"/>
  </r>
  <r>
    <x v="4"/>
    <x v="5"/>
    <s v="Manuka Honey Choco"/>
    <x v="47"/>
    <n v="75"/>
  </r>
  <r>
    <x v="0"/>
    <x v="5"/>
    <s v="Eclairs"/>
    <x v="48"/>
    <n v="156"/>
  </r>
  <r>
    <x v="6"/>
    <x v="2"/>
    <s v="Mint Chip Choco"/>
    <x v="49"/>
    <n v="39"/>
  </r>
  <r>
    <x v="4"/>
    <x v="2"/>
    <s v="Spicy Special Slims"/>
    <x v="50"/>
    <n v="63"/>
  </r>
  <r>
    <x v="7"/>
    <x v="2"/>
    <s v="Manuka Honey Choco"/>
    <x v="51"/>
    <n v="75"/>
  </r>
  <r>
    <x v="7"/>
    <x v="4"/>
    <s v="Caramel Stuffed Bars"/>
    <x v="52"/>
    <n v="183"/>
  </r>
  <r>
    <x v="3"/>
    <x v="1"/>
    <s v="Milk Bars"/>
    <x v="53"/>
    <n v="69"/>
  </r>
  <r>
    <x v="0"/>
    <x v="2"/>
    <s v="White Choc"/>
    <x v="54"/>
    <n v="30"/>
  </r>
  <r>
    <x v="3"/>
    <x v="5"/>
    <s v="Eclairs"/>
    <x v="55"/>
    <n v="39"/>
  </r>
  <r>
    <x v="8"/>
    <x v="5"/>
    <s v="Choco Coated Almonds"/>
    <x v="56"/>
    <n v="504"/>
  </r>
  <r>
    <x v="2"/>
    <x v="0"/>
    <s v="Manuka Honey Choco"/>
    <x v="57"/>
    <n v="273"/>
  </r>
  <r>
    <x v="6"/>
    <x v="0"/>
    <s v="Smooth Sliky Salty"/>
    <x v="58"/>
    <n v="48"/>
  </r>
  <r>
    <x v="4"/>
    <x v="5"/>
    <s v="Organic Choco Syrup"/>
    <x v="59"/>
    <n v="207"/>
  </r>
  <r>
    <x v="4"/>
    <x v="2"/>
    <s v="Choco Coated Almonds"/>
    <x v="60"/>
    <n v="9"/>
  </r>
  <r>
    <x v="9"/>
    <x v="2"/>
    <s v="Fruit &amp; Nut Bars"/>
    <x v="61"/>
    <n v="261"/>
  </r>
  <r>
    <x v="4"/>
    <x v="4"/>
    <s v="Mint Chip Choco"/>
    <x v="62"/>
    <n v="6"/>
  </r>
  <r>
    <x v="1"/>
    <x v="0"/>
    <s v="Raspberry Choco"/>
    <x v="63"/>
    <n v="30"/>
  </r>
  <r>
    <x v="5"/>
    <x v="5"/>
    <s v="Orange Choco"/>
    <x v="22"/>
    <n v="138"/>
  </r>
  <r>
    <x v="5"/>
    <x v="0"/>
    <s v="Eclairs"/>
    <x v="64"/>
    <n v="111"/>
  </r>
  <r>
    <x v="6"/>
    <x v="1"/>
    <s v="Drinking Coco"/>
    <x v="42"/>
    <n v="15"/>
  </r>
  <r>
    <x v="0"/>
    <x v="5"/>
    <s v="99% Dark &amp; Pure"/>
    <x v="65"/>
    <n v="162"/>
  </r>
  <r>
    <x v="6"/>
    <x v="5"/>
    <s v="99% Dark &amp; Pure"/>
    <x v="66"/>
    <n v="195"/>
  </r>
  <r>
    <x v="9"/>
    <x v="4"/>
    <s v="50% Dark Bites"/>
    <x v="67"/>
    <n v="525"/>
  </r>
  <r>
    <x v="5"/>
    <x v="5"/>
    <s v="Peanut Butter Cubes"/>
    <x v="68"/>
    <n v="48"/>
  </r>
  <r>
    <x v="2"/>
    <x v="5"/>
    <s v="Caramel Stuffed Bars"/>
    <x v="69"/>
    <n v="150"/>
  </r>
  <r>
    <x v="2"/>
    <x v="5"/>
    <s v="Orange Choco"/>
    <x v="70"/>
    <n v="492"/>
  </r>
  <r>
    <x v="6"/>
    <x v="5"/>
    <s v="Manuka Honey Choco"/>
    <x v="71"/>
    <n v="102"/>
  </r>
  <r>
    <x v="8"/>
    <x v="2"/>
    <s v="Fruit &amp; Nut Bars"/>
    <x v="72"/>
    <n v="165"/>
  </r>
  <r>
    <x v="3"/>
    <x v="2"/>
    <s v="Caramel Stuffed Bars"/>
    <x v="73"/>
    <n v="309"/>
  </r>
  <r>
    <x v="4"/>
    <x v="2"/>
    <s v="Eclairs"/>
    <x v="74"/>
    <n v="156"/>
  </r>
  <r>
    <x v="2"/>
    <x v="1"/>
    <s v="Baker's Choco Chips"/>
    <x v="75"/>
    <n v="159"/>
  </r>
  <r>
    <x v="6"/>
    <x v="1"/>
    <s v="Raspberry Choco"/>
    <x v="76"/>
    <n v="201"/>
  </r>
  <r>
    <x v="1"/>
    <x v="3"/>
    <s v="Smooth Sliky Salty"/>
    <x v="77"/>
    <n v="210"/>
  </r>
  <r>
    <x v="7"/>
    <x v="4"/>
    <s v="Milk Bars"/>
    <x v="78"/>
    <n v="51"/>
  </r>
  <r>
    <x v="8"/>
    <x v="2"/>
    <s v="White Choc"/>
    <x v="47"/>
    <n v="39"/>
  </r>
  <r>
    <x v="9"/>
    <x v="1"/>
    <s v="Drinking Coco"/>
    <x v="79"/>
    <n v="279"/>
  </r>
  <r>
    <x v="9"/>
    <x v="4"/>
    <s v="Milk Bars"/>
    <x v="80"/>
    <n v="123"/>
  </r>
  <r>
    <x v="7"/>
    <x v="3"/>
    <s v="Organic Choco Syrup"/>
    <x v="81"/>
    <n v="81"/>
  </r>
  <r>
    <x v="0"/>
    <x v="0"/>
    <s v="99% Dark &amp; Pure"/>
    <x v="16"/>
    <n v="21"/>
  </r>
  <r>
    <x v="8"/>
    <x v="2"/>
    <s v="Caramel Stuffed Bars"/>
    <x v="82"/>
    <n v="162"/>
  </r>
  <r>
    <x v="9"/>
    <x v="1"/>
    <s v="Spicy Special Slims"/>
    <x v="83"/>
    <n v="228"/>
  </r>
  <r>
    <x v="9"/>
    <x v="2"/>
    <s v="Manuka Honey Choco"/>
    <x v="84"/>
    <n v="342"/>
  </r>
  <r>
    <x v="6"/>
    <x v="4"/>
    <s v="Milk Bars"/>
    <x v="85"/>
    <n v="54"/>
  </r>
  <r>
    <x v="3"/>
    <x v="1"/>
    <s v="Caramel Stuffed Bars"/>
    <x v="86"/>
    <n v="216"/>
  </r>
  <r>
    <x v="8"/>
    <x v="5"/>
    <s v="Baker's Choco Chips"/>
    <x v="87"/>
    <n v="54"/>
  </r>
  <r>
    <x v="4"/>
    <x v="4"/>
    <s v="White Choc"/>
    <x v="88"/>
    <n v="75"/>
  </r>
  <r>
    <x v="2"/>
    <x v="0"/>
    <s v="Fruit &amp; Nut Bars"/>
    <x v="89"/>
    <n v="93"/>
  </r>
  <r>
    <x v="2"/>
    <x v="0"/>
    <s v="White Choc"/>
    <x v="90"/>
    <n v="156"/>
  </r>
  <r>
    <x v="2"/>
    <x v="4"/>
    <s v="Eclairs"/>
    <x v="91"/>
    <n v="9"/>
  </r>
  <r>
    <x v="8"/>
    <x v="2"/>
    <s v="99% Dark &amp; Pure"/>
    <x v="8"/>
    <n v="18"/>
  </r>
  <r>
    <x v="0"/>
    <x v="1"/>
    <s v="Choco Coated Almonds"/>
    <x v="92"/>
    <n v="234"/>
  </r>
  <r>
    <x v="8"/>
    <x v="5"/>
    <s v="Caramel Stuffed Bars"/>
    <x v="93"/>
    <n v="312"/>
  </r>
  <r>
    <x v="5"/>
    <x v="2"/>
    <s v="99% Dark &amp; Pure"/>
    <x v="94"/>
    <n v="300"/>
  </r>
  <r>
    <x v="7"/>
    <x v="2"/>
    <s v="Organic Choco Syrup"/>
    <x v="95"/>
    <n v="519"/>
  </r>
  <r>
    <x v="3"/>
    <x v="0"/>
    <s v="Spicy Special Slims"/>
    <x v="96"/>
    <n v="9"/>
  </r>
  <r>
    <x v="6"/>
    <x v="1"/>
    <s v="Almond Choco"/>
    <x v="97"/>
    <n v="9"/>
  </r>
  <r>
    <x v="0"/>
    <x v="2"/>
    <s v="Peanut Butter Cubes"/>
    <x v="98"/>
    <n v="90"/>
  </r>
  <r>
    <x v="5"/>
    <x v="5"/>
    <s v="White Choc"/>
    <x v="99"/>
    <n v="96"/>
  </r>
  <r>
    <x v="7"/>
    <x v="2"/>
    <s v="Mint Chip Choco"/>
    <x v="100"/>
    <n v="21"/>
  </r>
  <r>
    <x v="0"/>
    <x v="5"/>
    <s v="Baker's Choco Chips"/>
    <x v="101"/>
    <n v="48"/>
  </r>
  <r>
    <x v="9"/>
    <x v="2"/>
    <s v="Organic Choco Syrup"/>
    <x v="102"/>
    <n v="72"/>
  </r>
  <r>
    <x v="1"/>
    <x v="1"/>
    <s v="Manuka Honey Choco"/>
    <x v="103"/>
    <n v="168"/>
  </r>
  <r>
    <x v="6"/>
    <x v="3"/>
    <s v="Baker's Choco Chips"/>
    <x v="104"/>
    <n v="51"/>
  </r>
  <r>
    <x v="3"/>
    <x v="2"/>
    <s v="99% Dark &amp; Pure"/>
    <x v="105"/>
    <n v="192"/>
  </r>
  <r>
    <x v="5"/>
    <x v="0"/>
    <s v="50% Dark Bites"/>
    <x v="106"/>
    <n v="225"/>
  </r>
  <r>
    <x v="4"/>
    <x v="5"/>
    <s v="Baker's Choco Chips"/>
    <x v="107"/>
    <n v="456"/>
  </r>
  <r>
    <x v="9"/>
    <x v="5"/>
    <s v="White Choc"/>
    <x v="108"/>
    <n v="93"/>
  </r>
  <r>
    <x v="4"/>
    <x v="5"/>
    <s v="Almond Choco"/>
    <x v="109"/>
    <n v="48"/>
  </r>
  <r>
    <x v="4"/>
    <x v="0"/>
    <s v="Drinking Coco"/>
    <x v="110"/>
    <n v="102"/>
  </r>
  <r>
    <x v="5"/>
    <x v="1"/>
    <s v="70% Dark Bites"/>
    <x v="111"/>
    <n v="252"/>
  </r>
  <r>
    <x v="7"/>
    <x v="0"/>
    <s v="Drinking Coco"/>
    <x v="112"/>
    <n v="138"/>
  </r>
  <r>
    <x v="0"/>
    <x v="4"/>
    <s v="White Choc"/>
    <x v="113"/>
    <n v="90"/>
  </r>
  <r>
    <x v="3"/>
    <x v="0"/>
    <s v="70% Dark Bites"/>
    <x v="114"/>
    <n v="240"/>
  </r>
  <r>
    <x v="0"/>
    <x v="4"/>
    <s v="Almond Choco"/>
    <x v="115"/>
    <n v="102"/>
  </r>
  <r>
    <x v="3"/>
    <x v="1"/>
    <s v="Organic Choco Syrup"/>
    <x v="116"/>
    <n v="129"/>
  </r>
  <r>
    <x v="1"/>
    <x v="1"/>
    <s v="Organic Choco Syrup"/>
    <x v="117"/>
    <n v="300"/>
  </r>
  <r>
    <x v="4"/>
    <x v="4"/>
    <s v="Peanut Butter Cubes"/>
    <x v="2"/>
    <n v="135"/>
  </r>
  <r>
    <x v="5"/>
    <x v="1"/>
    <s v="85% Dark Bars"/>
    <x v="118"/>
    <n v="114"/>
  </r>
  <r>
    <x v="5"/>
    <x v="1"/>
    <s v="50% Dark Bites"/>
    <x v="119"/>
    <n v="63"/>
  </r>
  <r>
    <x v="5"/>
    <x v="2"/>
    <s v="Manuka Honey Choco"/>
    <x v="120"/>
    <n v="252"/>
  </r>
  <r>
    <x v="9"/>
    <x v="2"/>
    <s v="Choco Coated Almonds"/>
    <x v="121"/>
    <n v="303"/>
  </r>
  <r>
    <x v="5"/>
    <x v="3"/>
    <s v="Eclairs"/>
    <x v="122"/>
    <n v="246"/>
  </r>
  <r>
    <x v="1"/>
    <x v="4"/>
    <s v="After Nines"/>
    <x v="123"/>
    <n v="84"/>
  </r>
  <r>
    <x v="5"/>
    <x v="5"/>
    <s v="Eclairs"/>
    <x v="56"/>
    <n v="39"/>
  </r>
  <r>
    <x v="6"/>
    <x v="2"/>
    <s v="Eclairs"/>
    <x v="47"/>
    <n v="348"/>
  </r>
  <r>
    <x v="5"/>
    <x v="0"/>
    <s v="Peanut Butter Cubes"/>
    <x v="124"/>
    <n v="48"/>
  </r>
  <r>
    <x v="6"/>
    <x v="0"/>
    <s v="After Nines"/>
    <x v="125"/>
    <n v="75"/>
  </r>
  <r>
    <x v="5"/>
    <x v="4"/>
    <s v="Caramel Stuffed Bars"/>
    <x v="126"/>
    <n v="258"/>
  </r>
  <r>
    <x v="4"/>
    <x v="3"/>
    <s v="Eclairs"/>
    <x v="127"/>
    <n v="27"/>
  </r>
  <r>
    <x v="1"/>
    <x v="4"/>
    <s v="Choco Coated Almonds"/>
    <x v="128"/>
    <n v="213"/>
  </r>
  <r>
    <x v="6"/>
    <x v="1"/>
    <s v="Manuka Honey Choco"/>
    <x v="129"/>
    <n v="357"/>
  </r>
  <r>
    <x v="2"/>
    <x v="0"/>
    <s v="Almond Choco"/>
    <x v="130"/>
    <n v="207"/>
  </r>
  <r>
    <x v="1"/>
    <x v="0"/>
    <s v="70% Dark Bites"/>
    <x v="131"/>
    <n v="150"/>
  </r>
  <r>
    <x v="3"/>
    <x v="2"/>
    <s v="Baker's Choco Chips"/>
    <x v="75"/>
    <n v="204"/>
  </r>
  <r>
    <x v="5"/>
    <x v="1"/>
    <s v="Organic Choco Syrup"/>
    <x v="132"/>
    <n v="21"/>
  </r>
  <r>
    <x v="3"/>
    <x v="5"/>
    <s v="Peanut Butter Cubes"/>
    <x v="133"/>
    <n v="174"/>
  </r>
  <r>
    <x v="7"/>
    <x v="0"/>
    <s v="Eclairs"/>
    <x v="134"/>
    <n v="201"/>
  </r>
  <r>
    <x v="1"/>
    <x v="4"/>
    <s v="Milk Bars"/>
    <x v="135"/>
    <n v="510"/>
  </r>
  <r>
    <x v="4"/>
    <x v="3"/>
    <s v="Manuka Honey Choco"/>
    <x v="136"/>
    <n v="378"/>
  </r>
  <r>
    <x v="2"/>
    <x v="5"/>
    <s v="Spicy Special Slims"/>
    <x v="137"/>
    <n v="27"/>
  </r>
  <r>
    <x v="7"/>
    <x v="3"/>
    <s v="Mint Chip Choco"/>
    <x v="138"/>
    <n v="117"/>
  </r>
  <r>
    <x v="4"/>
    <x v="4"/>
    <s v="Spicy Special Slims"/>
    <x v="139"/>
    <n v="36"/>
  </r>
  <r>
    <x v="1"/>
    <x v="1"/>
    <s v="Peanut Butter Cubes"/>
    <x v="140"/>
    <n v="126"/>
  </r>
  <r>
    <x v="2"/>
    <x v="3"/>
    <s v="White Choc"/>
    <x v="141"/>
    <n v="72"/>
  </r>
  <r>
    <x v="5"/>
    <x v="2"/>
    <s v="After Nines"/>
    <x v="142"/>
    <n v="42"/>
  </r>
  <r>
    <x v="0"/>
    <x v="3"/>
    <s v="Manuka Honey Choco"/>
    <x v="143"/>
    <n v="135"/>
  </r>
  <r>
    <x v="5"/>
    <x v="5"/>
    <s v="85% Dark Bars"/>
    <x v="144"/>
    <n v="189"/>
  </r>
  <r>
    <x v="4"/>
    <x v="0"/>
    <s v="Caramel Stuffed Bars"/>
    <x v="145"/>
    <n v="459"/>
  </r>
  <r>
    <x v="6"/>
    <x v="5"/>
    <s v="Raspberry Choco"/>
    <x v="146"/>
    <n v="201"/>
  </r>
  <r>
    <x v="4"/>
    <x v="5"/>
    <s v="70% Dark Bites"/>
    <x v="147"/>
    <n v="366"/>
  </r>
  <r>
    <x v="8"/>
    <x v="0"/>
    <s v="Manuka Honey Choco"/>
    <x v="148"/>
    <n v="324"/>
  </r>
  <r>
    <x v="2"/>
    <x v="1"/>
    <s v="Raspberry Choco"/>
    <x v="149"/>
    <n v="243"/>
  </r>
  <r>
    <x v="7"/>
    <x v="3"/>
    <s v="Spicy Special Slims"/>
    <x v="150"/>
    <n v="213"/>
  </r>
  <r>
    <x v="0"/>
    <x v="1"/>
    <s v="70% Dark Bites"/>
    <x v="151"/>
    <n v="447"/>
  </r>
  <r>
    <x v="0"/>
    <x v="4"/>
    <s v="Milk Bars"/>
    <x v="152"/>
    <n v="297"/>
  </r>
  <r>
    <x v="5"/>
    <x v="1"/>
    <s v="Mint Chip Choco"/>
    <x v="153"/>
    <n v="27"/>
  </r>
  <r>
    <x v="0"/>
    <x v="5"/>
    <s v="Fruit &amp; Nut Bars"/>
    <x v="154"/>
    <n v="75"/>
  </r>
  <r>
    <x v="9"/>
    <x v="3"/>
    <s v="Peanut Butter Cubes"/>
    <x v="155"/>
    <n v="30"/>
  </r>
  <r>
    <x v="5"/>
    <x v="2"/>
    <s v="Drinking Coco"/>
    <x v="12"/>
    <n v="177"/>
  </r>
  <r>
    <x v="0"/>
    <x v="5"/>
    <s v="Peanut Butter Cubes"/>
    <x v="156"/>
    <n v="159"/>
  </r>
  <r>
    <x v="8"/>
    <x v="1"/>
    <s v="Peanut Butter Cubes"/>
    <x v="135"/>
    <n v="306"/>
  </r>
  <r>
    <x v="8"/>
    <x v="5"/>
    <s v="Orange Choco"/>
    <x v="157"/>
    <n v="18"/>
  </r>
  <r>
    <x v="5"/>
    <x v="1"/>
    <s v="99% Dark &amp; Pure"/>
    <x v="158"/>
    <n v="240"/>
  </r>
  <r>
    <x v="6"/>
    <x v="5"/>
    <s v="Peanut Butter Cubes"/>
    <x v="159"/>
    <n v="93"/>
  </r>
  <r>
    <x v="9"/>
    <x v="5"/>
    <s v="Baker's Choco Chips"/>
    <x v="9"/>
    <n v="9"/>
  </r>
  <r>
    <x v="1"/>
    <x v="5"/>
    <s v="Mint Chip Choco"/>
    <x v="160"/>
    <n v="219"/>
  </r>
  <r>
    <x v="7"/>
    <x v="3"/>
    <s v="After Nines"/>
    <x v="99"/>
    <n v="141"/>
  </r>
  <r>
    <x v="3"/>
    <x v="0"/>
    <s v="Orange Choco"/>
    <x v="161"/>
    <n v="123"/>
  </r>
  <r>
    <x v="0"/>
    <x v="4"/>
    <s v="85% Dark Bars"/>
    <x v="162"/>
    <n v="51"/>
  </r>
  <r>
    <x v="4"/>
    <x v="2"/>
    <s v="Almond Choco"/>
    <x v="163"/>
    <n v="120"/>
  </r>
  <r>
    <x v="1"/>
    <x v="3"/>
    <s v="Baker's Choco Chips"/>
    <x v="164"/>
    <n v="27"/>
  </r>
  <r>
    <x v="2"/>
    <x v="2"/>
    <s v="Organic Choco Syrup"/>
    <x v="165"/>
    <n v="204"/>
  </r>
  <r>
    <x v="4"/>
    <x v="4"/>
    <s v="Milk Bars"/>
    <x v="61"/>
    <n v="123"/>
  </r>
  <r>
    <x v="9"/>
    <x v="0"/>
    <s v="Caramel Stuffed Bars"/>
    <x v="166"/>
    <n v="27"/>
  </r>
  <r>
    <x v="3"/>
    <x v="0"/>
    <s v="Baker's Choco Chips"/>
    <x v="167"/>
    <n v="177"/>
  </r>
  <r>
    <x v="8"/>
    <x v="3"/>
    <s v="Baker's Choco Chips"/>
    <x v="168"/>
    <n v="171"/>
  </r>
  <r>
    <x v="9"/>
    <x v="5"/>
    <s v="99% Dark &amp; Pure"/>
    <x v="169"/>
    <n v="204"/>
  </r>
  <r>
    <x v="8"/>
    <x v="5"/>
    <s v="50% Dark Bites"/>
    <x v="170"/>
    <n v="276"/>
  </r>
  <r>
    <x v="1"/>
    <x v="0"/>
    <s v="Baker's Choco Chips"/>
    <x v="171"/>
    <n v="45"/>
  </r>
  <r>
    <x v="0"/>
    <x v="4"/>
    <s v="Manuka Honey Choco"/>
    <x v="113"/>
    <n v="45"/>
  </r>
  <r>
    <x v="4"/>
    <x v="1"/>
    <s v="Organic Choco Syrup"/>
    <x v="172"/>
    <n v="177"/>
  </r>
  <r>
    <x v="6"/>
    <x v="2"/>
    <s v="Milk Bars"/>
    <x v="173"/>
    <n v="63"/>
  </r>
  <r>
    <x v="2"/>
    <x v="3"/>
    <s v="Drinking Coco"/>
    <x v="174"/>
    <n v="204"/>
  </r>
  <r>
    <x v="1"/>
    <x v="0"/>
    <s v="After Nines"/>
    <x v="175"/>
    <n v="195"/>
  </r>
  <r>
    <x v="5"/>
    <x v="5"/>
    <s v="50% Dark Bites"/>
    <x v="176"/>
    <n v="369"/>
  </r>
  <r>
    <x v="8"/>
    <x v="5"/>
    <s v="White Choc"/>
    <x v="177"/>
    <n v="42"/>
  </r>
  <r>
    <x v="4"/>
    <x v="0"/>
    <s v="70% Dark Bites"/>
    <x v="178"/>
    <n v="81"/>
  </r>
  <r>
    <x v="2"/>
    <x v="0"/>
    <s v="Baker's Choco Chips"/>
    <x v="179"/>
    <n v="246"/>
  </r>
  <r>
    <x v="2"/>
    <x v="5"/>
    <s v="Eclairs"/>
    <x v="180"/>
    <n v="174"/>
  </r>
  <r>
    <x v="1"/>
    <x v="1"/>
    <s v="70% Dark Bites"/>
    <x v="181"/>
    <n v="81"/>
  </r>
  <r>
    <x v="0"/>
    <x v="1"/>
    <s v="After Nines"/>
    <x v="182"/>
    <n v="372"/>
  </r>
  <r>
    <x v="0"/>
    <x v="1"/>
    <s v="Mint Chip Choco"/>
    <x v="183"/>
    <n v="174"/>
  </r>
  <r>
    <x v="3"/>
    <x v="2"/>
    <s v="Choco Coated Almonds"/>
    <x v="184"/>
    <n v="84"/>
  </r>
  <r>
    <x v="3"/>
    <x v="5"/>
    <s v="Mint Chip Choco"/>
    <x v="185"/>
    <n v="225"/>
  </r>
  <r>
    <x v="6"/>
    <x v="2"/>
    <s v="70% Dark Bites"/>
    <x v="114"/>
    <n v="105"/>
  </r>
  <r>
    <x v="0"/>
    <x v="3"/>
    <s v="Caramel Stuffed Bars"/>
    <x v="186"/>
    <n v="225"/>
  </r>
  <r>
    <x v="7"/>
    <x v="0"/>
    <s v="50% Dark Bites"/>
    <x v="187"/>
    <n v="54"/>
  </r>
  <r>
    <x v="5"/>
    <x v="0"/>
    <s v="Baker's Choco Chips"/>
    <x v="188"/>
    <n v="0"/>
  </r>
  <r>
    <x v="6"/>
    <x v="3"/>
    <s v="85% Dark Bars"/>
    <x v="65"/>
    <n v="171"/>
  </r>
  <r>
    <x v="2"/>
    <x v="5"/>
    <s v="Mint Chip Choco"/>
    <x v="62"/>
    <n v="189"/>
  </r>
  <r>
    <x v="5"/>
    <x v="4"/>
    <s v="Drinking Coco"/>
    <x v="189"/>
    <n v="270"/>
  </r>
  <r>
    <x v="4"/>
    <x v="3"/>
    <s v="70% Dark Bites"/>
    <x v="190"/>
    <n v="63"/>
  </r>
  <r>
    <x v="3"/>
    <x v="4"/>
    <s v="White Choc"/>
    <x v="191"/>
    <n v="21"/>
  </r>
  <r>
    <x v="5"/>
    <x v="0"/>
    <s v="After Nines"/>
    <x v="192"/>
    <n v="207"/>
  </r>
  <r>
    <x v="2"/>
    <x v="0"/>
    <s v="Orange Choco"/>
    <x v="193"/>
    <n v="96"/>
  </r>
  <r>
    <x v="6"/>
    <x v="3"/>
    <s v="After Nines"/>
    <x v="194"/>
    <n v="81"/>
  </r>
  <r>
    <x v="2"/>
    <x v="3"/>
    <s v="85% Dark Bars"/>
    <x v="195"/>
    <n v="306"/>
  </r>
  <r>
    <x v="9"/>
    <x v="3"/>
    <s v="Spicy Special Slims"/>
    <x v="196"/>
    <n v="279"/>
  </r>
  <r>
    <x v="7"/>
    <x v="4"/>
    <s v="Almond Choco"/>
    <x v="197"/>
    <n v="3"/>
  </r>
  <r>
    <x v="5"/>
    <x v="3"/>
    <s v="Organic Choco Syrup"/>
    <x v="198"/>
    <n v="198"/>
  </r>
  <r>
    <x v="6"/>
    <x v="3"/>
    <s v="Drinking Coco"/>
    <x v="199"/>
    <n v="249"/>
  </r>
  <r>
    <x v="4"/>
    <x v="5"/>
    <s v="Mint Chip Choco"/>
    <x v="200"/>
    <n v="75"/>
  </r>
  <r>
    <x v="2"/>
    <x v="2"/>
    <s v="Choco Coated Almonds"/>
    <x v="201"/>
    <n v="189"/>
  </r>
  <r>
    <x v="5"/>
    <x v="2"/>
    <s v="Choco Coated Almonds"/>
    <x v="202"/>
    <n v="87"/>
  </r>
  <r>
    <x v="3"/>
    <x v="2"/>
    <s v="70% Dark Bites"/>
    <x v="60"/>
    <n v="174"/>
  </r>
  <r>
    <x v="7"/>
    <x v="3"/>
    <s v="Raspberry Choco"/>
    <x v="203"/>
    <n v="36"/>
  </r>
  <r>
    <x v="2"/>
    <x v="4"/>
    <s v="85% Dark Bars"/>
    <x v="204"/>
    <n v="60"/>
  </r>
  <r>
    <x v="8"/>
    <x v="1"/>
    <s v="Fruit &amp; Nut Bars"/>
    <x v="103"/>
    <n v="78"/>
  </r>
  <r>
    <x v="2"/>
    <x v="2"/>
    <s v="70% Dark Bites"/>
    <x v="205"/>
    <n v="57"/>
  </r>
  <r>
    <x v="2"/>
    <x v="0"/>
    <s v="Caramel Stuffed Bars"/>
    <x v="206"/>
    <n v="45"/>
  </r>
  <r>
    <x v="3"/>
    <x v="4"/>
    <s v="After Nines"/>
    <x v="207"/>
    <n v="3"/>
  </r>
  <r>
    <x v="9"/>
    <x v="1"/>
    <s v="Raspberry Choco"/>
    <x v="208"/>
    <n v="6"/>
  </r>
  <r>
    <x v="6"/>
    <x v="0"/>
    <s v="White Choc"/>
    <x v="209"/>
    <n v="21"/>
  </r>
  <r>
    <x v="6"/>
    <x v="2"/>
    <s v="Drinking Coco"/>
    <x v="210"/>
    <n v="3"/>
  </r>
  <r>
    <x v="1"/>
    <x v="5"/>
    <s v="Smooth Sliky Salty"/>
    <x v="211"/>
    <n v="288"/>
  </r>
  <r>
    <x v="4"/>
    <x v="2"/>
    <s v="Milk Bars"/>
    <x v="212"/>
    <n v="30"/>
  </r>
  <r>
    <x v="0"/>
    <x v="4"/>
    <s v="Baker's Choco Chips"/>
    <x v="213"/>
    <n v="87"/>
  </r>
  <r>
    <x v="0"/>
    <x v="3"/>
    <s v="Organic Choco Syrup"/>
    <x v="214"/>
    <n v="30"/>
  </r>
  <r>
    <x v="6"/>
    <x v="4"/>
    <s v="99% Dark &amp; Pure"/>
    <x v="215"/>
    <n v="168"/>
  </r>
  <r>
    <x v="0"/>
    <x v="2"/>
    <s v="Organic Choco Syrup"/>
    <x v="216"/>
    <n v="306"/>
  </r>
  <r>
    <x v="4"/>
    <x v="1"/>
    <s v="Almond Choco"/>
    <x v="217"/>
    <n v="402"/>
  </r>
  <r>
    <x v="8"/>
    <x v="0"/>
    <s v="Caramel Stuffed Bars"/>
    <x v="218"/>
    <n v="327"/>
  </r>
  <r>
    <x v="0"/>
    <x v="0"/>
    <s v="Organic Choco Syrup"/>
    <x v="219"/>
    <n v="93"/>
  </r>
  <r>
    <x v="9"/>
    <x v="1"/>
    <s v="50% Dark Bites"/>
    <x v="220"/>
    <n v="96"/>
  </r>
  <r>
    <x v="1"/>
    <x v="3"/>
    <s v="Drinking Coco"/>
    <x v="221"/>
    <n v="27"/>
  </r>
  <r>
    <x v="2"/>
    <x v="4"/>
    <s v="Baker's Choco Chips"/>
    <x v="222"/>
    <n v="99"/>
  </r>
  <r>
    <x v="2"/>
    <x v="4"/>
    <s v="Peanut Butter Cubes"/>
    <x v="223"/>
    <n v="87"/>
  </r>
  <r>
    <x v="9"/>
    <x v="0"/>
    <s v="Spicy Special Slims"/>
    <x v="224"/>
    <n v="288"/>
  </r>
  <r>
    <x v="1"/>
    <x v="1"/>
    <s v="Orange Choco"/>
    <x v="225"/>
    <n v="363"/>
  </r>
  <r>
    <x v="9"/>
    <x v="5"/>
    <s v="Eclairs"/>
    <x v="226"/>
    <n v="87"/>
  </r>
  <r>
    <x v="4"/>
    <x v="5"/>
    <s v="Eclairs"/>
    <x v="227"/>
    <n v="150"/>
  </r>
  <r>
    <x v="7"/>
    <x v="1"/>
    <s v="Eclairs"/>
    <x v="228"/>
    <n v="303"/>
  </r>
  <r>
    <x v="5"/>
    <x v="1"/>
    <s v="Caramel Stuffed Bars"/>
    <x v="229"/>
    <n v="288"/>
  </r>
  <r>
    <x v="9"/>
    <x v="2"/>
    <s v="Milk Bars"/>
    <x v="230"/>
    <n v="75"/>
  </r>
  <r>
    <x v="0"/>
    <x v="4"/>
    <s v="Smooth Sliky Salty"/>
    <x v="231"/>
    <n v="39"/>
  </r>
  <r>
    <x v="4"/>
    <x v="5"/>
    <s v="Choco Coated Almonds"/>
    <x v="232"/>
    <n v="123"/>
  </r>
  <r>
    <x v="0"/>
    <x v="2"/>
    <s v="Almond Choco"/>
    <x v="233"/>
    <n v="36"/>
  </r>
  <r>
    <x v="6"/>
    <x v="5"/>
    <s v="After Nines"/>
    <x v="171"/>
    <n v="237"/>
  </r>
  <r>
    <x v="0"/>
    <x v="2"/>
    <s v="Milk Bars"/>
    <x v="234"/>
    <n v="201"/>
  </r>
  <r>
    <x v="7"/>
    <x v="2"/>
    <s v="Eclairs"/>
    <x v="235"/>
    <n v="48"/>
  </r>
  <r>
    <x v="6"/>
    <x v="1"/>
    <s v="After Nines"/>
    <x v="236"/>
    <n v="84"/>
  </r>
  <r>
    <x v="1"/>
    <x v="0"/>
    <s v="Spicy Special Slims"/>
    <x v="237"/>
    <n v="87"/>
  </r>
  <r>
    <x v="5"/>
    <x v="4"/>
    <s v="70% Dark Bites"/>
    <x v="238"/>
    <n v="312"/>
  </r>
  <r>
    <x v="8"/>
    <x v="3"/>
    <s v="Caramel Stuffed Bars"/>
    <x v="159"/>
    <n v="102"/>
  </r>
  <r>
    <x v="1"/>
    <x v="4"/>
    <s v="Spicy Special Slims"/>
    <x v="239"/>
    <n v="78"/>
  </r>
  <r>
    <x v="8"/>
    <x v="5"/>
    <s v="Fruit &amp; Nut Bars"/>
    <x v="240"/>
    <n v="117"/>
  </r>
  <r>
    <x v="3"/>
    <x v="1"/>
    <s v="99% Dark &amp; Pure"/>
    <x v="213"/>
    <n v="99"/>
  </r>
  <r>
    <x v="0"/>
    <x v="1"/>
    <s v="85% Dark Bars"/>
    <x v="190"/>
    <n v="48"/>
  </r>
  <r>
    <x v="5"/>
    <x v="5"/>
    <s v="Raspberry Choco"/>
    <x v="241"/>
    <n v="24"/>
  </r>
  <r>
    <x v="0"/>
    <x v="3"/>
    <s v="Raspberry Choco"/>
    <x v="242"/>
    <n v="42"/>
  </r>
  <r>
    <x v="4"/>
    <x v="1"/>
    <s v="Orange Choco"/>
    <x v="243"/>
    <n v="270"/>
  </r>
  <r>
    <x v="1"/>
    <x v="2"/>
    <s v="Fruit &amp; Nut Bars"/>
    <x v="48"/>
    <n v="150"/>
  </r>
  <r>
    <x v="7"/>
    <x v="0"/>
    <s v="Raspberry Choco"/>
    <x v="244"/>
    <n v="42"/>
  </r>
  <r>
    <x v="0"/>
    <x v="1"/>
    <s v="Manuka Honey Choco"/>
    <x v="245"/>
    <n v="126"/>
  </r>
  <r>
    <x v="4"/>
    <x v="0"/>
    <s v="Baker's Choco Chips"/>
    <x v="246"/>
    <n v="6"/>
  </r>
  <r>
    <x v="8"/>
    <x v="1"/>
    <s v="Raspberry Choco"/>
    <x v="121"/>
    <n v="276"/>
  </r>
  <r>
    <x v="8"/>
    <x v="5"/>
    <s v="Eclairs"/>
    <x v="206"/>
    <n v="93"/>
  </r>
  <r>
    <x v="7"/>
    <x v="2"/>
    <s v="Smooth Sliky Salty"/>
    <x v="247"/>
    <n v="246"/>
  </r>
  <r>
    <x v="4"/>
    <x v="3"/>
    <s v="85% Dark Bars"/>
    <x v="248"/>
    <n v="3"/>
  </r>
  <r>
    <x v="1"/>
    <x v="4"/>
    <s v="Organic Choco Syrup"/>
    <x v="249"/>
    <n v="63"/>
  </r>
  <r>
    <x v="6"/>
    <x v="1"/>
    <s v="Smooth Sliky Salty"/>
    <x v="117"/>
    <n v="246"/>
  </r>
  <r>
    <x v="7"/>
    <x v="5"/>
    <s v="99% Dark &amp; Pure"/>
    <x v="250"/>
    <n v="120"/>
  </r>
  <r>
    <x v="7"/>
    <x v="4"/>
    <s v="Smooth Sliky Salty"/>
    <x v="251"/>
    <n v="348"/>
  </r>
  <r>
    <x v="3"/>
    <x v="5"/>
    <s v="Fruit &amp; Nut Bars"/>
    <x v="252"/>
    <n v="126"/>
  </r>
  <r>
    <x v="4"/>
    <x v="1"/>
    <s v="70% Dark Bites"/>
    <x v="253"/>
    <n v="123"/>
  </r>
  <r>
    <x v="6"/>
    <x v="4"/>
    <s v="White Choc"/>
    <x v="254"/>
    <n v="45"/>
  </r>
  <r>
    <x v="9"/>
    <x v="4"/>
    <s v="Almond Choco"/>
    <x v="255"/>
    <n v="126"/>
  </r>
  <r>
    <x v="0"/>
    <x v="0"/>
    <s v="Manuka Honey Choco"/>
    <x v="256"/>
    <n v="72"/>
  </r>
  <r>
    <x v="4"/>
    <x v="2"/>
    <s v="Manuka Honey Choco"/>
    <x v="257"/>
    <n v="135"/>
  </r>
  <r>
    <x v="9"/>
    <x v="5"/>
    <s v="After Nines"/>
    <x v="258"/>
    <n v="24"/>
  </r>
  <r>
    <x v="5"/>
    <x v="2"/>
    <s v="Smooth Sliky Salty"/>
    <x v="259"/>
    <n v="117"/>
  </r>
  <r>
    <x v="8"/>
    <x v="3"/>
    <s v="Manuka Honey Choco"/>
    <x v="260"/>
    <n v="51"/>
  </r>
  <r>
    <x v="7"/>
    <x v="3"/>
    <s v="Fruit &amp; Nut Bars"/>
    <x v="261"/>
    <n v="36"/>
  </r>
  <r>
    <x v="2"/>
    <x v="1"/>
    <s v="Organic Choco Syrup"/>
    <x v="262"/>
    <n v="144"/>
  </r>
  <r>
    <x v="2"/>
    <x v="2"/>
    <s v="White Choc"/>
    <x v="263"/>
    <n v="114"/>
  </r>
  <r>
    <x v="5"/>
    <x v="0"/>
    <s v="70% Dark Bites"/>
    <x v="264"/>
    <n v="54"/>
  </r>
  <r>
    <x v="5"/>
    <x v="0"/>
    <s v="Mint Chip Choco"/>
    <x v="64"/>
    <n v="333"/>
  </r>
  <r>
    <x v="8"/>
    <x v="0"/>
    <s v="Almond Choco"/>
    <x v="62"/>
    <n v="366"/>
  </r>
  <r>
    <x v="8"/>
    <x v="4"/>
    <s v="Baker's Choco Chips"/>
    <x v="265"/>
    <n v="303"/>
  </r>
  <r>
    <x v="7"/>
    <x v="3"/>
    <s v="Peanut Butter Cubes"/>
    <x v="65"/>
    <n v="126"/>
  </r>
  <r>
    <x v="3"/>
    <x v="0"/>
    <s v="Raspberry Choco"/>
    <x v="266"/>
    <n v="231"/>
  </r>
  <r>
    <x v="2"/>
    <x v="4"/>
    <s v="White Choc"/>
    <x v="267"/>
    <n v="1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s v="70% Dark Bites"/>
    <n v="1624"/>
    <n v="114"/>
  </r>
  <r>
    <x v="1"/>
    <x v="1"/>
    <s v="Choco Coated Almonds"/>
    <n v="6706"/>
    <n v="459"/>
  </r>
  <r>
    <x v="2"/>
    <x v="1"/>
    <s v="Almond Choco"/>
    <n v="959"/>
    <n v="147"/>
  </r>
  <r>
    <x v="3"/>
    <x v="2"/>
    <s v="Drinking Coco"/>
    <n v="9632"/>
    <n v="288"/>
  </r>
  <r>
    <x v="4"/>
    <x v="3"/>
    <s v="White Choc"/>
    <n v="2100"/>
    <n v="414"/>
  </r>
  <r>
    <x v="0"/>
    <x v="1"/>
    <s v="Peanut Butter Cubes"/>
    <n v="8869"/>
    <n v="432"/>
  </r>
  <r>
    <x v="4"/>
    <x v="4"/>
    <s v="Smooth Sliky Salty"/>
    <n v="2681"/>
    <n v="54"/>
  </r>
  <r>
    <x v="1"/>
    <x v="1"/>
    <s v="After Nines"/>
    <n v="5012"/>
    <n v="210"/>
  </r>
  <r>
    <x v="5"/>
    <x v="4"/>
    <s v="50% Dark Bites"/>
    <n v="1281"/>
    <n v="75"/>
  </r>
  <r>
    <x v="6"/>
    <x v="0"/>
    <s v="50% Dark Bites"/>
    <n v="4991"/>
    <n v="12"/>
  </r>
  <r>
    <x v="7"/>
    <x v="3"/>
    <s v="White Choc"/>
    <n v="1785"/>
    <n v="462"/>
  </r>
  <r>
    <x v="8"/>
    <x v="0"/>
    <s v="Eclairs"/>
    <n v="3983"/>
    <n v="144"/>
  </r>
  <r>
    <x v="2"/>
    <x v="4"/>
    <s v="Mint Chip Choco"/>
    <n v="2646"/>
    <n v="120"/>
  </r>
  <r>
    <x v="7"/>
    <x v="5"/>
    <s v="Milk Bars"/>
    <n v="252"/>
    <n v="54"/>
  </r>
  <r>
    <x v="8"/>
    <x v="1"/>
    <s v="White Choc"/>
    <n v="2464"/>
    <n v="234"/>
  </r>
  <r>
    <x v="8"/>
    <x v="1"/>
    <s v="Manuka Honey Choco"/>
    <n v="2114"/>
    <n v="66"/>
  </r>
  <r>
    <x v="4"/>
    <x v="0"/>
    <s v="Smooth Sliky Salty"/>
    <n v="7693"/>
    <n v="87"/>
  </r>
  <r>
    <x v="6"/>
    <x v="5"/>
    <s v="Orange Choco"/>
    <n v="15610"/>
    <n v="339"/>
  </r>
  <r>
    <x v="3"/>
    <x v="5"/>
    <s v="After Nines"/>
    <n v="336"/>
    <n v="144"/>
  </r>
  <r>
    <x v="7"/>
    <x v="3"/>
    <s v="Orange Choco"/>
    <n v="9443"/>
    <n v="162"/>
  </r>
  <r>
    <x v="2"/>
    <x v="5"/>
    <s v="Fruit &amp; Nut Bars"/>
    <n v="8155"/>
    <n v="90"/>
  </r>
  <r>
    <x v="1"/>
    <x v="4"/>
    <s v="Fruit &amp; Nut Bars"/>
    <n v="1701"/>
    <n v="234"/>
  </r>
  <r>
    <x v="9"/>
    <x v="4"/>
    <s v="After Nines"/>
    <n v="2205"/>
    <n v="141"/>
  </r>
  <r>
    <x v="1"/>
    <x v="0"/>
    <s v="99% Dark &amp; Pure"/>
    <n v="1771"/>
    <n v="204"/>
  </r>
  <r>
    <x v="3"/>
    <x v="1"/>
    <s v="Raspberry Choco"/>
    <n v="2114"/>
    <n v="186"/>
  </r>
  <r>
    <x v="3"/>
    <x v="2"/>
    <s v="Milk Bars"/>
    <n v="10311"/>
    <n v="231"/>
  </r>
  <r>
    <x v="8"/>
    <x v="3"/>
    <s v="Mint Chip Choco"/>
    <n v="21"/>
    <n v="168"/>
  </r>
  <r>
    <x v="9"/>
    <x v="1"/>
    <s v="Orange Choco"/>
    <n v="1974"/>
    <n v="195"/>
  </r>
  <r>
    <x v="6"/>
    <x v="2"/>
    <s v="Fruit &amp; Nut Bars"/>
    <n v="6314"/>
    <n v="15"/>
  </r>
  <r>
    <x v="9"/>
    <x v="0"/>
    <s v="Fruit &amp; Nut Bars"/>
    <n v="4683"/>
    <n v="30"/>
  </r>
  <r>
    <x v="3"/>
    <x v="0"/>
    <s v="85% Dark Bars"/>
    <n v="6398"/>
    <n v="102"/>
  </r>
  <r>
    <x v="7"/>
    <x v="1"/>
    <s v="99% Dark &amp; Pure"/>
    <n v="553"/>
    <n v="15"/>
  </r>
  <r>
    <x v="1"/>
    <x v="3"/>
    <s v="70% Dark Bites"/>
    <n v="7021"/>
    <n v="183"/>
  </r>
  <r>
    <x v="0"/>
    <x v="3"/>
    <s v="After Nines"/>
    <n v="5817"/>
    <n v="12"/>
  </r>
  <r>
    <x v="3"/>
    <x v="3"/>
    <s v="50% Dark Bites"/>
    <n v="3976"/>
    <n v="72"/>
  </r>
  <r>
    <x v="4"/>
    <x v="4"/>
    <s v="Organic Choco Syrup"/>
    <n v="1134"/>
    <n v="282"/>
  </r>
  <r>
    <x v="7"/>
    <x v="3"/>
    <s v="Caramel Stuffed Bars"/>
    <n v="6027"/>
    <n v="144"/>
  </r>
  <r>
    <x v="4"/>
    <x v="0"/>
    <s v="Mint Chip Choco"/>
    <n v="1904"/>
    <n v="405"/>
  </r>
  <r>
    <x v="5"/>
    <x v="5"/>
    <s v="Choco Coated Almonds"/>
    <n v="3262"/>
    <n v="75"/>
  </r>
  <r>
    <x v="0"/>
    <x v="5"/>
    <s v="Organic Choco Syrup"/>
    <n v="2289"/>
    <n v="135"/>
  </r>
  <r>
    <x v="6"/>
    <x v="5"/>
    <s v="Organic Choco Syrup"/>
    <n v="6986"/>
    <n v="21"/>
  </r>
  <r>
    <x v="7"/>
    <x v="4"/>
    <s v="Fruit &amp; Nut Bars"/>
    <n v="4417"/>
    <n v="153"/>
  </r>
  <r>
    <x v="4"/>
    <x v="5"/>
    <s v="Raspberry Choco"/>
    <n v="1442"/>
    <n v="15"/>
  </r>
  <r>
    <x v="8"/>
    <x v="1"/>
    <s v="50% Dark Bites"/>
    <n v="2415"/>
    <n v="255"/>
  </r>
  <r>
    <x v="7"/>
    <x v="0"/>
    <s v="99% Dark &amp; Pure"/>
    <n v="238"/>
    <n v="18"/>
  </r>
  <r>
    <x v="4"/>
    <x v="0"/>
    <s v="Fruit &amp; Nut Bars"/>
    <n v="4949"/>
    <n v="189"/>
  </r>
  <r>
    <x v="6"/>
    <x v="4"/>
    <s v="Choco Coated Almonds"/>
    <n v="5075"/>
    <n v="21"/>
  </r>
  <r>
    <x v="8"/>
    <x v="2"/>
    <s v="Mint Chip Choco"/>
    <n v="9198"/>
    <n v="36"/>
  </r>
  <r>
    <x v="4"/>
    <x v="5"/>
    <s v="Manuka Honey Choco"/>
    <n v="3339"/>
    <n v="75"/>
  </r>
  <r>
    <x v="0"/>
    <x v="5"/>
    <s v="Eclairs"/>
    <n v="5019"/>
    <n v="156"/>
  </r>
  <r>
    <x v="6"/>
    <x v="2"/>
    <s v="Mint Chip Choco"/>
    <n v="16184"/>
    <n v="39"/>
  </r>
  <r>
    <x v="4"/>
    <x v="2"/>
    <s v="Spicy Special Slims"/>
    <n v="497"/>
    <n v="63"/>
  </r>
  <r>
    <x v="7"/>
    <x v="2"/>
    <s v="Manuka Honey Choco"/>
    <n v="8211"/>
    <n v="75"/>
  </r>
  <r>
    <x v="7"/>
    <x v="4"/>
    <s v="Caramel Stuffed Bars"/>
    <n v="6580"/>
    <n v="183"/>
  </r>
  <r>
    <x v="3"/>
    <x v="1"/>
    <s v="Milk Bars"/>
    <n v="4760"/>
    <n v="69"/>
  </r>
  <r>
    <x v="0"/>
    <x v="2"/>
    <s v="White Choc"/>
    <n v="5439"/>
    <n v="30"/>
  </r>
  <r>
    <x v="3"/>
    <x v="5"/>
    <s v="Eclairs"/>
    <n v="1463"/>
    <n v="39"/>
  </r>
  <r>
    <x v="8"/>
    <x v="5"/>
    <s v="Choco Coated Almonds"/>
    <n v="7777"/>
    <n v="504"/>
  </r>
  <r>
    <x v="2"/>
    <x v="0"/>
    <s v="Manuka Honey Choco"/>
    <n v="1085"/>
    <n v="273"/>
  </r>
  <r>
    <x v="6"/>
    <x v="0"/>
    <s v="Smooth Sliky Salty"/>
    <n v="182"/>
    <n v="48"/>
  </r>
  <r>
    <x v="4"/>
    <x v="5"/>
    <s v="Organic Choco Syrup"/>
    <n v="4242"/>
    <n v="207"/>
  </r>
  <r>
    <x v="4"/>
    <x v="2"/>
    <s v="Choco Coated Almonds"/>
    <n v="6118"/>
    <n v="9"/>
  </r>
  <r>
    <x v="9"/>
    <x v="2"/>
    <s v="Fruit &amp; Nut Bars"/>
    <n v="2317"/>
    <n v="261"/>
  </r>
  <r>
    <x v="4"/>
    <x v="4"/>
    <s v="Mint Chip Choco"/>
    <n v="938"/>
    <n v="6"/>
  </r>
  <r>
    <x v="1"/>
    <x v="0"/>
    <s v="Raspberry Choco"/>
    <n v="9709"/>
    <n v="30"/>
  </r>
  <r>
    <x v="5"/>
    <x v="5"/>
    <s v="Orange Choco"/>
    <n v="2205"/>
    <n v="138"/>
  </r>
  <r>
    <x v="5"/>
    <x v="0"/>
    <s v="Eclairs"/>
    <n v="4487"/>
    <n v="111"/>
  </r>
  <r>
    <x v="6"/>
    <x v="1"/>
    <s v="Drinking Coco"/>
    <n v="2415"/>
    <n v="15"/>
  </r>
  <r>
    <x v="0"/>
    <x v="5"/>
    <s v="99% Dark &amp; Pure"/>
    <n v="4018"/>
    <n v="162"/>
  </r>
  <r>
    <x v="6"/>
    <x v="5"/>
    <s v="99% Dark &amp; Pure"/>
    <n v="861"/>
    <n v="195"/>
  </r>
  <r>
    <x v="9"/>
    <x v="4"/>
    <s v="50% Dark Bites"/>
    <n v="5586"/>
    <n v="525"/>
  </r>
  <r>
    <x v="5"/>
    <x v="5"/>
    <s v="Peanut Butter Cubes"/>
    <n v="2226"/>
    <n v="48"/>
  </r>
  <r>
    <x v="2"/>
    <x v="5"/>
    <s v="Caramel Stuffed Bars"/>
    <n v="14329"/>
    <n v="150"/>
  </r>
  <r>
    <x v="2"/>
    <x v="5"/>
    <s v="Orange Choco"/>
    <n v="8463"/>
    <n v="492"/>
  </r>
  <r>
    <x v="6"/>
    <x v="5"/>
    <s v="Manuka Honey Choco"/>
    <n v="2891"/>
    <n v="102"/>
  </r>
  <r>
    <x v="8"/>
    <x v="2"/>
    <s v="Fruit &amp; Nut Bars"/>
    <n v="3773"/>
    <n v="165"/>
  </r>
  <r>
    <x v="3"/>
    <x v="2"/>
    <s v="Caramel Stuffed Bars"/>
    <n v="854"/>
    <n v="309"/>
  </r>
  <r>
    <x v="4"/>
    <x v="2"/>
    <s v="Eclairs"/>
    <n v="4970"/>
    <n v="156"/>
  </r>
  <r>
    <x v="2"/>
    <x v="1"/>
    <s v="Baker's Choco Chips"/>
    <n v="98"/>
    <n v="159"/>
  </r>
  <r>
    <x v="6"/>
    <x v="1"/>
    <s v="Raspberry Choco"/>
    <n v="13391"/>
    <n v="201"/>
  </r>
  <r>
    <x v="1"/>
    <x v="3"/>
    <s v="Smooth Sliky Salty"/>
    <n v="8890"/>
    <n v="210"/>
  </r>
  <r>
    <x v="7"/>
    <x v="4"/>
    <s v="Milk Bars"/>
    <n v="56"/>
    <n v="51"/>
  </r>
  <r>
    <x v="8"/>
    <x v="2"/>
    <s v="White Choc"/>
    <n v="3339"/>
    <n v="39"/>
  </r>
  <r>
    <x v="9"/>
    <x v="1"/>
    <s v="Drinking Coco"/>
    <n v="3808"/>
    <n v="279"/>
  </r>
  <r>
    <x v="9"/>
    <x v="4"/>
    <s v="Milk Bars"/>
    <n v="63"/>
    <n v="123"/>
  </r>
  <r>
    <x v="7"/>
    <x v="3"/>
    <s v="Organic Choco Syrup"/>
    <n v="7812"/>
    <n v="81"/>
  </r>
  <r>
    <x v="0"/>
    <x v="0"/>
    <s v="99% Dark &amp; Pure"/>
    <n v="7693"/>
    <n v="21"/>
  </r>
  <r>
    <x v="8"/>
    <x v="2"/>
    <s v="Caramel Stuffed Bars"/>
    <n v="973"/>
    <n v="162"/>
  </r>
  <r>
    <x v="9"/>
    <x v="1"/>
    <s v="Spicy Special Slims"/>
    <n v="567"/>
    <n v="228"/>
  </r>
  <r>
    <x v="9"/>
    <x v="2"/>
    <s v="Manuka Honey Choco"/>
    <n v="2471"/>
    <n v="342"/>
  </r>
  <r>
    <x v="6"/>
    <x v="4"/>
    <s v="Milk Bars"/>
    <n v="7189"/>
    <n v="54"/>
  </r>
  <r>
    <x v="3"/>
    <x v="1"/>
    <s v="Caramel Stuffed Bars"/>
    <n v="7455"/>
    <n v="216"/>
  </r>
  <r>
    <x v="8"/>
    <x v="5"/>
    <s v="Baker's Choco Chips"/>
    <n v="3108"/>
    <n v="54"/>
  </r>
  <r>
    <x v="4"/>
    <x v="4"/>
    <s v="White Choc"/>
    <n v="469"/>
    <n v="75"/>
  </r>
  <r>
    <x v="2"/>
    <x v="0"/>
    <s v="Fruit &amp; Nut Bars"/>
    <n v="2737"/>
    <n v="93"/>
  </r>
  <r>
    <x v="2"/>
    <x v="0"/>
    <s v="White Choc"/>
    <n v="4305"/>
    <n v="156"/>
  </r>
  <r>
    <x v="2"/>
    <x v="4"/>
    <s v="Eclairs"/>
    <n v="2408"/>
    <n v="9"/>
  </r>
  <r>
    <x v="8"/>
    <x v="2"/>
    <s v="99% Dark &amp; Pure"/>
    <n v="1281"/>
    <n v="18"/>
  </r>
  <r>
    <x v="0"/>
    <x v="1"/>
    <s v="Choco Coated Almonds"/>
    <n v="12348"/>
    <n v="234"/>
  </r>
  <r>
    <x v="8"/>
    <x v="5"/>
    <s v="Caramel Stuffed Bars"/>
    <n v="3689"/>
    <n v="312"/>
  </r>
  <r>
    <x v="5"/>
    <x v="2"/>
    <s v="99% Dark &amp; Pure"/>
    <n v="2870"/>
    <n v="300"/>
  </r>
  <r>
    <x v="7"/>
    <x v="2"/>
    <s v="Organic Choco Syrup"/>
    <n v="798"/>
    <n v="519"/>
  </r>
  <r>
    <x v="3"/>
    <x v="0"/>
    <s v="Spicy Special Slims"/>
    <n v="2933"/>
    <n v="9"/>
  </r>
  <r>
    <x v="6"/>
    <x v="1"/>
    <s v="Almond Choco"/>
    <n v="2744"/>
    <n v="9"/>
  </r>
  <r>
    <x v="0"/>
    <x v="2"/>
    <s v="Peanut Butter Cubes"/>
    <n v="9772"/>
    <n v="90"/>
  </r>
  <r>
    <x v="5"/>
    <x v="5"/>
    <s v="White Choc"/>
    <n v="1568"/>
    <n v="96"/>
  </r>
  <r>
    <x v="7"/>
    <x v="2"/>
    <s v="Mint Chip Choco"/>
    <n v="11417"/>
    <n v="21"/>
  </r>
  <r>
    <x v="0"/>
    <x v="5"/>
    <s v="Baker's Choco Chips"/>
    <n v="6748"/>
    <n v="48"/>
  </r>
  <r>
    <x v="9"/>
    <x v="2"/>
    <s v="Organic Choco Syrup"/>
    <n v="1407"/>
    <n v="72"/>
  </r>
  <r>
    <x v="1"/>
    <x v="1"/>
    <s v="Manuka Honey Choco"/>
    <n v="2023"/>
    <n v="168"/>
  </r>
  <r>
    <x v="6"/>
    <x v="3"/>
    <s v="Baker's Choco Chips"/>
    <n v="5236"/>
    <n v="51"/>
  </r>
  <r>
    <x v="3"/>
    <x v="2"/>
    <s v="99% Dark &amp; Pure"/>
    <n v="1925"/>
    <n v="192"/>
  </r>
  <r>
    <x v="5"/>
    <x v="0"/>
    <s v="50% Dark Bites"/>
    <n v="6608"/>
    <n v="225"/>
  </r>
  <r>
    <x v="4"/>
    <x v="5"/>
    <s v="Baker's Choco Chips"/>
    <n v="8008"/>
    <n v="456"/>
  </r>
  <r>
    <x v="9"/>
    <x v="5"/>
    <s v="White Choc"/>
    <n v="1428"/>
    <n v="93"/>
  </r>
  <r>
    <x v="4"/>
    <x v="5"/>
    <s v="Almond Choco"/>
    <n v="525"/>
    <n v="48"/>
  </r>
  <r>
    <x v="4"/>
    <x v="0"/>
    <s v="Drinking Coco"/>
    <n v="1505"/>
    <n v="102"/>
  </r>
  <r>
    <x v="5"/>
    <x v="1"/>
    <s v="70% Dark Bites"/>
    <n v="6755"/>
    <n v="252"/>
  </r>
  <r>
    <x v="7"/>
    <x v="0"/>
    <s v="Drinking Coco"/>
    <n v="11571"/>
    <n v="138"/>
  </r>
  <r>
    <x v="0"/>
    <x v="4"/>
    <s v="White Choc"/>
    <n v="2541"/>
    <n v="90"/>
  </r>
  <r>
    <x v="3"/>
    <x v="0"/>
    <s v="70% Dark Bites"/>
    <n v="1526"/>
    <n v="240"/>
  </r>
  <r>
    <x v="0"/>
    <x v="4"/>
    <s v="Almond Choco"/>
    <n v="6125"/>
    <n v="102"/>
  </r>
  <r>
    <x v="3"/>
    <x v="1"/>
    <s v="Organic Choco Syrup"/>
    <n v="847"/>
    <n v="129"/>
  </r>
  <r>
    <x v="1"/>
    <x v="1"/>
    <s v="Organic Choco Syrup"/>
    <n v="4753"/>
    <n v="300"/>
  </r>
  <r>
    <x v="4"/>
    <x v="4"/>
    <s v="Peanut Butter Cubes"/>
    <n v="959"/>
    <n v="135"/>
  </r>
  <r>
    <x v="5"/>
    <x v="1"/>
    <s v="85% Dark Bars"/>
    <n v="2793"/>
    <n v="114"/>
  </r>
  <r>
    <x v="5"/>
    <x v="1"/>
    <s v="50% Dark Bites"/>
    <n v="4606"/>
    <n v="63"/>
  </r>
  <r>
    <x v="5"/>
    <x v="2"/>
    <s v="Manuka Honey Choco"/>
    <n v="5551"/>
    <n v="252"/>
  </r>
  <r>
    <x v="9"/>
    <x v="2"/>
    <s v="Choco Coated Almonds"/>
    <n v="6657"/>
    <n v="303"/>
  </r>
  <r>
    <x v="5"/>
    <x v="3"/>
    <s v="Eclairs"/>
    <n v="4438"/>
    <n v="246"/>
  </r>
  <r>
    <x v="1"/>
    <x v="4"/>
    <s v="After Nines"/>
    <n v="168"/>
    <n v="84"/>
  </r>
  <r>
    <x v="5"/>
    <x v="5"/>
    <s v="Eclairs"/>
    <n v="7777"/>
    <n v="39"/>
  </r>
  <r>
    <x v="6"/>
    <x v="2"/>
    <s v="Eclairs"/>
    <n v="3339"/>
    <n v="348"/>
  </r>
  <r>
    <x v="5"/>
    <x v="0"/>
    <s v="Peanut Butter Cubes"/>
    <n v="6391"/>
    <n v="48"/>
  </r>
  <r>
    <x v="6"/>
    <x v="0"/>
    <s v="After Nines"/>
    <n v="518"/>
    <n v="75"/>
  </r>
  <r>
    <x v="5"/>
    <x v="4"/>
    <s v="Caramel Stuffed Bars"/>
    <n v="5677"/>
    <n v="258"/>
  </r>
  <r>
    <x v="4"/>
    <x v="3"/>
    <s v="Eclairs"/>
    <n v="6048"/>
    <n v="27"/>
  </r>
  <r>
    <x v="1"/>
    <x v="4"/>
    <s v="Choco Coated Almonds"/>
    <n v="3752"/>
    <n v="213"/>
  </r>
  <r>
    <x v="6"/>
    <x v="1"/>
    <s v="Manuka Honey Choco"/>
    <n v="4480"/>
    <n v="357"/>
  </r>
  <r>
    <x v="2"/>
    <x v="0"/>
    <s v="Almond Choco"/>
    <n v="259"/>
    <n v="207"/>
  </r>
  <r>
    <x v="1"/>
    <x v="0"/>
    <s v="70% Dark Bites"/>
    <n v="42"/>
    <n v="150"/>
  </r>
  <r>
    <x v="3"/>
    <x v="2"/>
    <s v="Baker's Choco Chips"/>
    <n v="98"/>
    <n v="204"/>
  </r>
  <r>
    <x v="5"/>
    <x v="1"/>
    <s v="Organic Choco Syrup"/>
    <n v="2478"/>
    <n v="21"/>
  </r>
  <r>
    <x v="3"/>
    <x v="5"/>
    <s v="Peanut Butter Cubes"/>
    <n v="7847"/>
    <n v="174"/>
  </r>
  <r>
    <x v="7"/>
    <x v="0"/>
    <s v="Eclairs"/>
    <n v="9926"/>
    <n v="201"/>
  </r>
  <r>
    <x v="1"/>
    <x v="4"/>
    <s v="Milk Bars"/>
    <n v="819"/>
    <n v="510"/>
  </r>
  <r>
    <x v="4"/>
    <x v="3"/>
    <s v="Manuka Honey Choco"/>
    <n v="3052"/>
    <n v="378"/>
  </r>
  <r>
    <x v="2"/>
    <x v="5"/>
    <s v="Spicy Special Slims"/>
    <n v="6832"/>
    <n v="27"/>
  </r>
  <r>
    <x v="7"/>
    <x v="3"/>
    <s v="Mint Chip Choco"/>
    <n v="2016"/>
    <n v="117"/>
  </r>
  <r>
    <x v="4"/>
    <x v="4"/>
    <s v="Spicy Special Slims"/>
    <n v="7322"/>
    <n v="36"/>
  </r>
  <r>
    <x v="1"/>
    <x v="1"/>
    <s v="Peanut Butter Cubes"/>
    <n v="357"/>
    <n v="126"/>
  </r>
  <r>
    <x v="2"/>
    <x v="3"/>
    <s v="White Choc"/>
    <n v="3192"/>
    <n v="72"/>
  </r>
  <r>
    <x v="5"/>
    <x v="2"/>
    <s v="After Nines"/>
    <n v="8435"/>
    <n v="42"/>
  </r>
  <r>
    <x v="0"/>
    <x v="3"/>
    <s v="Manuka Honey Choco"/>
    <n v="0"/>
    <n v="135"/>
  </r>
  <r>
    <x v="5"/>
    <x v="5"/>
    <s v="85% Dark Bars"/>
    <n v="8862"/>
    <n v="189"/>
  </r>
  <r>
    <x v="4"/>
    <x v="0"/>
    <s v="Caramel Stuffed Bars"/>
    <n v="3556"/>
    <n v="459"/>
  </r>
  <r>
    <x v="6"/>
    <x v="5"/>
    <s v="Raspberry Choco"/>
    <n v="7280"/>
    <n v="201"/>
  </r>
  <r>
    <x v="4"/>
    <x v="5"/>
    <s v="70% Dark Bites"/>
    <n v="3402"/>
    <n v="366"/>
  </r>
  <r>
    <x v="8"/>
    <x v="0"/>
    <s v="Manuka Honey Choco"/>
    <n v="4592"/>
    <n v="324"/>
  </r>
  <r>
    <x v="2"/>
    <x v="1"/>
    <s v="Raspberry Choco"/>
    <n v="7833"/>
    <n v="243"/>
  </r>
  <r>
    <x v="7"/>
    <x v="3"/>
    <s v="Spicy Special Slims"/>
    <n v="7651"/>
    <n v="213"/>
  </r>
  <r>
    <x v="0"/>
    <x v="1"/>
    <s v="70% Dark Bites"/>
    <n v="2275"/>
    <n v="447"/>
  </r>
  <r>
    <x v="0"/>
    <x v="4"/>
    <s v="Milk Bars"/>
    <n v="5670"/>
    <n v="297"/>
  </r>
  <r>
    <x v="5"/>
    <x v="1"/>
    <s v="Mint Chip Choco"/>
    <n v="2135"/>
    <n v="27"/>
  </r>
  <r>
    <x v="0"/>
    <x v="5"/>
    <s v="Fruit &amp; Nut Bars"/>
    <n v="2779"/>
    <n v="75"/>
  </r>
  <r>
    <x v="9"/>
    <x v="3"/>
    <s v="Peanut Butter Cubes"/>
    <n v="12950"/>
    <n v="30"/>
  </r>
  <r>
    <x v="5"/>
    <x v="2"/>
    <s v="Drinking Coco"/>
    <n v="2646"/>
    <n v="177"/>
  </r>
  <r>
    <x v="0"/>
    <x v="5"/>
    <s v="Peanut Butter Cubes"/>
    <n v="3794"/>
    <n v="159"/>
  </r>
  <r>
    <x v="8"/>
    <x v="1"/>
    <s v="Peanut Butter Cubes"/>
    <n v="819"/>
    <n v="306"/>
  </r>
  <r>
    <x v="8"/>
    <x v="5"/>
    <s v="Orange Choco"/>
    <n v="2583"/>
    <n v="18"/>
  </r>
  <r>
    <x v="5"/>
    <x v="1"/>
    <s v="99% Dark &amp; Pure"/>
    <n v="4585"/>
    <n v="240"/>
  </r>
  <r>
    <x v="6"/>
    <x v="5"/>
    <s v="Peanut Butter Cubes"/>
    <n v="1652"/>
    <n v="93"/>
  </r>
  <r>
    <x v="9"/>
    <x v="5"/>
    <s v="Baker's Choco Chips"/>
    <n v="4991"/>
    <n v="9"/>
  </r>
  <r>
    <x v="1"/>
    <x v="5"/>
    <s v="Mint Chip Choco"/>
    <n v="2009"/>
    <n v="219"/>
  </r>
  <r>
    <x v="7"/>
    <x v="3"/>
    <s v="After Nines"/>
    <n v="1568"/>
    <n v="141"/>
  </r>
  <r>
    <x v="3"/>
    <x v="0"/>
    <s v="Orange Choco"/>
    <n v="3388"/>
    <n v="123"/>
  </r>
  <r>
    <x v="0"/>
    <x v="4"/>
    <s v="85% Dark Bars"/>
    <n v="623"/>
    <n v="51"/>
  </r>
  <r>
    <x v="4"/>
    <x v="2"/>
    <s v="Almond Choco"/>
    <n v="10073"/>
    <n v="120"/>
  </r>
  <r>
    <x v="1"/>
    <x v="3"/>
    <s v="Baker's Choco Chips"/>
    <n v="1561"/>
    <n v="27"/>
  </r>
  <r>
    <x v="2"/>
    <x v="2"/>
    <s v="Organic Choco Syrup"/>
    <n v="11522"/>
    <n v="204"/>
  </r>
  <r>
    <x v="4"/>
    <x v="4"/>
    <s v="Milk Bars"/>
    <n v="2317"/>
    <n v="123"/>
  </r>
  <r>
    <x v="9"/>
    <x v="0"/>
    <s v="Caramel Stuffed Bars"/>
    <n v="3059"/>
    <n v="27"/>
  </r>
  <r>
    <x v="3"/>
    <x v="0"/>
    <s v="Baker's Choco Chips"/>
    <n v="2324"/>
    <n v="177"/>
  </r>
  <r>
    <x v="8"/>
    <x v="3"/>
    <s v="Baker's Choco Chips"/>
    <n v="4956"/>
    <n v="171"/>
  </r>
  <r>
    <x v="9"/>
    <x v="5"/>
    <s v="99% Dark &amp; Pure"/>
    <n v="5355"/>
    <n v="204"/>
  </r>
  <r>
    <x v="8"/>
    <x v="5"/>
    <s v="50% Dark Bites"/>
    <n v="7259"/>
    <n v="276"/>
  </r>
  <r>
    <x v="1"/>
    <x v="0"/>
    <s v="Baker's Choco Chips"/>
    <n v="6279"/>
    <n v="45"/>
  </r>
  <r>
    <x v="0"/>
    <x v="4"/>
    <s v="Manuka Honey Choco"/>
    <n v="2541"/>
    <n v="45"/>
  </r>
  <r>
    <x v="4"/>
    <x v="1"/>
    <s v="Organic Choco Syrup"/>
    <n v="3864"/>
    <n v="177"/>
  </r>
  <r>
    <x v="6"/>
    <x v="2"/>
    <s v="Milk Bars"/>
    <n v="6146"/>
    <n v="63"/>
  </r>
  <r>
    <x v="2"/>
    <x v="3"/>
    <s v="Drinking Coco"/>
    <n v="2639"/>
    <n v="204"/>
  </r>
  <r>
    <x v="1"/>
    <x v="0"/>
    <s v="After Nines"/>
    <n v="1890"/>
    <n v="195"/>
  </r>
  <r>
    <x v="5"/>
    <x v="5"/>
    <s v="50% Dark Bites"/>
    <n v="1932"/>
    <n v="369"/>
  </r>
  <r>
    <x v="8"/>
    <x v="5"/>
    <s v="White Choc"/>
    <n v="6300"/>
    <n v="42"/>
  </r>
  <r>
    <x v="4"/>
    <x v="0"/>
    <s v="70% Dark Bites"/>
    <n v="560"/>
    <n v="81"/>
  </r>
  <r>
    <x v="2"/>
    <x v="0"/>
    <s v="Baker's Choco Chips"/>
    <n v="2856"/>
    <n v="246"/>
  </r>
  <r>
    <x v="2"/>
    <x v="5"/>
    <s v="Eclairs"/>
    <n v="707"/>
    <n v="174"/>
  </r>
  <r>
    <x v="1"/>
    <x v="1"/>
    <s v="70% Dark Bites"/>
    <n v="3598"/>
    <n v="81"/>
  </r>
  <r>
    <x v="0"/>
    <x v="1"/>
    <s v="After Nines"/>
    <n v="6853"/>
    <n v="372"/>
  </r>
  <r>
    <x v="0"/>
    <x v="1"/>
    <s v="Mint Chip Choco"/>
    <n v="4725"/>
    <n v="174"/>
  </r>
  <r>
    <x v="3"/>
    <x v="2"/>
    <s v="Choco Coated Almonds"/>
    <n v="10304"/>
    <n v="84"/>
  </r>
  <r>
    <x v="3"/>
    <x v="5"/>
    <s v="Mint Chip Choco"/>
    <n v="1274"/>
    <n v="225"/>
  </r>
  <r>
    <x v="6"/>
    <x v="2"/>
    <s v="70% Dark Bites"/>
    <n v="1526"/>
    <n v="105"/>
  </r>
  <r>
    <x v="0"/>
    <x v="3"/>
    <s v="Caramel Stuffed Bars"/>
    <n v="3101"/>
    <n v="225"/>
  </r>
  <r>
    <x v="7"/>
    <x v="0"/>
    <s v="50% Dark Bites"/>
    <n v="1057"/>
    <n v="54"/>
  </r>
  <r>
    <x v="5"/>
    <x v="0"/>
    <s v="Baker's Choco Chips"/>
    <n v="5306"/>
    <n v="0"/>
  </r>
  <r>
    <x v="6"/>
    <x v="3"/>
    <s v="85% Dark Bars"/>
    <n v="4018"/>
    <n v="171"/>
  </r>
  <r>
    <x v="2"/>
    <x v="5"/>
    <s v="Mint Chip Choco"/>
    <n v="938"/>
    <n v="189"/>
  </r>
  <r>
    <x v="5"/>
    <x v="4"/>
    <s v="Drinking Coco"/>
    <n v="1778"/>
    <n v="270"/>
  </r>
  <r>
    <x v="4"/>
    <x v="3"/>
    <s v="70% Dark Bites"/>
    <n v="1638"/>
    <n v="63"/>
  </r>
  <r>
    <x v="3"/>
    <x v="4"/>
    <s v="White Choc"/>
    <n v="154"/>
    <n v="21"/>
  </r>
  <r>
    <x v="5"/>
    <x v="0"/>
    <s v="After Nines"/>
    <n v="9835"/>
    <n v="207"/>
  </r>
  <r>
    <x v="2"/>
    <x v="0"/>
    <s v="Orange Choco"/>
    <n v="7273"/>
    <n v="96"/>
  </r>
  <r>
    <x v="6"/>
    <x v="3"/>
    <s v="After Nines"/>
    <n v="6909"/>
    <n v="81"/>
  </r>
  <r>
    <x v="2"/>
    <x v="3"/>
    <s v="85% Dark Bars"/>
    <n v="3920"/>
    <n v="306"/>
  </r>
  <r>
    <x v="9"/>
    <x v="3"/>
    <s v="Spicy Special Slims"/>
    <n v="4858"/>
    <n v="279"/>
  </r>
  <r>
    <x v="7"/>
    <x v="4"/>
    <s v="Almond Choco"/>
    <n v="3549"/>
    <n v="3"/>
  </r>
  <r>
    <x v="5"/>
    <x v="3"/>
    <s v="Organic Choco Syrup"/>
    <n v="966"/>
    <n v="198"/>
  </r>
  <r>
    <x v="6"/>
    <x v="3"/>
    <s v="Drinking Coco"/>
    <n v="385"/>
    <n v="249"/>
  </r>
  <r>
    <x v="4"/>
    <x v="5"/>
    <s v="Mint Chip Choco"/>
    <n v="2219"/>
    <n v="75"/>
  </r>
  <r>
    <x v="2"/>
    <x v="2"/>
    <s v="Choco Coated Almonds"/>
    <n v="2954"/>
    <n v="189"/>
  </r>
  <r>
    <x v="5"/>
    <x v="2"/>
    <s v="Choco Coated Almonds"/>
    <n v="280"/>
    <n v="87"/>
  </r>
  <r>
    <x v="3"/>
    <x v="2"/>
    <s v="70% Dark Bites"/>
    <n v="6118"/>
    <n v="174"/>
  </r>
  <r>
    <x v="7"/>
    <x v="3"/>
    <s v="Raspberry Choco"/>
    <n v="4802"/>
    <n v="36"/>
  </r>
  <r>
    <x v="2"/>
    <x v="4"/>
    <s v="85% Dark Bars"/>
    <n v="4137"/>
    <n v="60"/>
  </r>
  <r>
    <x v="8"/>
    <x v="1"/>
    <s v="Fruit &amp; Nut Bars"/>
    <n v="2023"/>
    <n v="78"/>
  </r>
  <r>
    <x v="2"/>
    <x v="2"/>
    <s v="70% Dark Bites"/>
    <n v="9051"/>
    <n v="57"/>
  </r>
  <r>
    <x v="2"/>
    <x v="0"/>
    <s v="Caramel Stuffed Bars"/>
    <n v="2919"/>
    <n v="45"/>
  </r>
  <r>
    <x v="3"/>
    <x v="4"/>
    <s v="After Nines"/>
    <n v="5915"/>
    <n v="3"/>
  </r>
  <r>
    <x v="9"/>
    <x v="1"/>
    <s v="Raspberry Choco"/>
    <n v="2562"/>
    <n v="6"/>
  </r>
  <r>
    <x v="6"/>
    <x v="0"/>
    <s v="White Choc"/>
    <n v="8813"/>
    <n v="21"/>
  </r>
  <r>
    <x v="6"/>
    <x v="2"/>
    <s v="Drinking Coco"/>
    <n v="6111"/>
    <n v="3"/>
  </r>
  <r>
    <x v="1"/>
    <x v="5"/>
    <s v="Smooth Sliky Salty"/>
    <n v="3507"/>
    <n v="288"/>
  </r>
  <r>
    <x v="4"/>
    <x v="2"/>
    <s v="Milk Bars"/>
    <n v="4319"/>
    <n v="30"/>
  </r>
  <r>
    <x v="0"/>
    <x v="4"/>
    <s v="Baker's Choco Chips"/>
    <n v="609"/>
    <n v="87"/>
  </r>
  <r>
    <x v="0"/>
    <x v="3"/>
    <s v="Organic Choco Syrup"/>
    <n v="6370"/>
    <n v="30"/>
  </r>
  <r>
    <x v="6"/>
    <x v="4"/>
    <s v="99% Dark &amp; Pure"/>
    <n v="5474"/>
    <n v="168"/>
  </r>
  <r>
    <x v="0"/>
    <x v="2"/>
    <s v="Organic Choco Syrup"/>
    <n v="3164"/>
    <n v="306"/>
  </r>
  <r>
    <x v="4"/>
    <x v="1"/>
    <s v="Almond Choco"/>
    <n v="1302"/>
    <n v="402"/>
  </r>
  <r>
    <x v="8"/>
    <x v="0"/>
    <s v="Caramel Stuffed Bars"/>
    <n v="7308"/>
    <n v="327"/>
  </r>
  <r>
    <x v="0"/>
    <x v="0"/>
    <s v="Organic Choco Syrup"/>
    <n v="6132"/>
    <n v="93"/>
  </r>
  <r>
    <x v="9"/>
    <x v="1"/>
    <s v="50% Dark Bites"/>
    <n v="3472"/>
    <n v="96"/>
  </r>
  <r>
    <x v="1"/>
    <x v="3"/>
    <s v="Drinking Coco"/>
    <n v="9660"/>
    <n v="27"/>
  </r>
  <r>
    <x v="2"/>
    <x v="4"/>
    <s v="Baker's Choco Chips"/>
    <n v="2436"/>
    <n v="99"/>
  </r>
  <r>
    <x v="2"/>
    <x v="4"/>
    <s v="Peanut Butter Cubes"/>
    <n v="9506"/>
    <n v="87"/>
  </r>
  <r>
    <x v="9"/>
    <x v="0"/>
    <s v="Spicy Special Slims"/>
    <n v="245"/>
    <n v="288"/>
  </r>
  <r>
    <x v="1"/>
    <x v="1"/>
    <s v="Orange Choco"/>
    <n v="2702"/>
    <n v="363"/>
  </r>
  <r>
    <x v="9"/>
    <x v="5"/>
    <s v="Eclairs"/>
    <n v="700"/>
    <n v="87"/>
  </r>
  <r>
    <x v="4"/>
    <x v="5"/>
    <s v="Eclairs"/>
    <n v="3759"/>
    <n v="150"/>
  </r>
  <r>
    <x v="7"/>
    <x v="1"/>
    <s v="Eclairs"/>
    <n v="1589"/>
    <n v="303"/>
  </r>
  <r>
    <x v="5"/>
    <x v="1"/>
    <s v="Caramel Stuffed Bars"/>
    <n v="5194"/>
    <n v="288"/>
  </r>
  <r>
    <x v="9"/>
    <x v="2"/>
    <s v="Milk Bars"/>
    <n v="945"/>
    <n v="75"/>
  </r>
  <r>
    <x v="0"/>
    <x v="4"/>
    <s v="Smooth Sliky Salty"/>
    <n v="1988"/>
    <n v="39"/>
  </r>
  <r>
    <x v="4"/>
    <x v="5"/>
    <s v="Choco Coated Almonds"/>
    <n v="6734"/>
    <n v="123"/>
  </r>
  <r>
    <x v="0"/>
    <x v="2"/>
    <s v="Almond Choco"/>
    <n v="217"/>
    <n v="36"/>
  </r>
  <r>
    <x v="6"/>
    <x v="5"/>
    <s v="After Nines"/>
    <n v="6279"/>
    <n v="237"/>
  </r>
  <r>
    <x v="0"/>
    <x v="2"/>
    <s v="Milk Bars"/>
    <n v="4424"/>
    <n v="201"/>
  </r>
  <r>
    <x v="7"/>
    <x v="2"/>
    <s v="Eclairs"/>
    <n v="189"/>
    <n v="48"/>
  </r>
  <r>
    <x v="6"/>
    <x v="1"/>
    <s v="After Nines"/>
    <n v="490"/>
    <n v="84"/>
  </r>
  <r>
    <x v="1"/>
    <x v="0"/>
    <s v="Spicy Special Slims"/>
    <n v="434"/>
    <n v="87"/>
  </r>
  <r>
    <x v="5"/>
    <x v="4"/>
    <s v="70% Dark Bites"/>
    <n v="10129"/>
    <n v="312"/>
  </r>
  <r>
    <x v="8"/>
    <x v="3"/>
    <s v="Caramel Stuffed Bars"/>
    <n v="1652"/>
    <n v="102"/>
  </r>
  <r>
    <x v="1"/>
    <x v="4"/>
    <s v="Spicy Special Slims"/>
    <n v="6433"/>
    <n v="78"/>
  </r>
  <r>
    <x v="8"/>
    <x v="5"/>
    <s v="Fruit &amp; Nut Bars"/>
    <n v="2212"/>
    <n v="117"/>
  </r>
  <r>
    <x v="3"/>
    <x v="1"/>
    <s v="99% Dark &amp; Pure"/>
    <n v="609"/>
    <n v="99"/>
  </r>
  <r>
    <x v="0"/>
    <x v="1"/>
    <s v="85% Dark Bars"/>
    <n v="1638"/>
    <n v="48"/>
  </r>
  <r>
    <x v="5"/>
    <x v="5"/>
    <s v="Raspberry Choco"/>
    <n v="3829"/>
    <n v="24"/>
  </r>
  <r>
    <x v="0"/>
    <x v="3"/>
    <s v="Raspberry Choco"/>
    <n v="5775"/>
    <n v="42"/>
  </r>
  <r>
    <x v="4"/>
    <x v="1"/>
    <s v="Orange Choco"/>
    <n v="1071"/>
    <n v="270"/>
  </r>
  <r>
    <x v="1"/>
    <x v="2"/>
    <s v="Fruit &amp; Nut Bars"/>
    <n v="5019"/>
    <n v="150"/>
  </r>
  <r>
    <x v="7"/>
    <x v="0"/>
    <s v="Raspberry Choco"/>
    <n v="2863"/>
    <n v="42"/>
  </r>
  <r>
    <x v="0"/>
    <x v="1"/>
    <s v="Manuka Honey Choco"/>
    <n v="1617"/>
    <n v="126"/>
  </r>
  <r>
    <x v="4"/>
    <x v="0"/>
    <s v="Baker's Choco Chips"/>
    <n v="6818"/>
    <n v="6"/>
  </r>
  <r>
    <x v="8"/>
    <x v="1"/>
    <s v="Raspberry Choco"/>
    <n v="6657"/>
    <n v="276"/>
  </r>
  <r>
    <x v="8"/>
    <x v="5"/>
    <s v="Eclairs"/>
    <n v="2919"/>
    <n v="93"/>
  </r>
  <r>
    <x v="7"/>
    <x v="2"/>
    <s v="Smooth Sliky Salty"/>
    <n v="3094"/>
    <n v="246"/>
  </r>
  <r>
    <x v="4"/>
    <x v="3"/>
    <s v="85% Dark Bars"/>
    <n v="2989"/>
    <n v="3"/>
  </r>
  <r>
    <x v="1"/>
    <x v="4"/>
    <s v="Organic Choco Syrup"/>
    <n v="2268"/>
    <n v="63"/>
  </r>
  <r>
    <x v="6"/>
    <x v="1"/>
    <s v="Smooth Sliky Salty"/>
    <n v="4753"/>
    <n v="246"/>
  </r>
  <r>
    <x v="7"/>
    <x v="5"/>
    <s v="99% Dark &amp; Pure"/>
    <n v="7511"/>
    <n v="120"/>
  </r>
  <r>
    <x v="7"/>
    <x v="4"/>
    <s v="Smooth Sliky Salty"/>
    <n v="4326"/>
    <n v="348"/>
  </r>
  <r>
    <x v="3"/>
    <x v="5"/>
    <s v="Fruit &amp; Nut Bars"/>
    <n v="4935"/>
    <n v="126"/>
  </r>
  <r>
    <x v="4"/>
    <x v="1"/>
    <s v="70% Dark Bites"/>
    <n v="4781"/>
    <n v="123"/>
  </r>
  <r>
    <x v="6"/>
    <x v="4"/>
    <s v="White Choc"/>
    <n v="7483"/>
    <n v="45"/>
  </r>
  <r>
    <x v="9"/>
    <x v="4"/>
    <s v="Almond Choco"/>
    <n v="6860"/>
    <n v="126"/>
  </r>
  <r>
    <x v="0"/>
    <x v="0"/>
    <s v="Manuka Honey Choco"/>
    <n v="9002"/>
    <n v="72"/>
  </r>
  <r>
    <x v="4"/>
    <x v="2"/>
    <s v="Manuka Honey Choco"/>
    <n v="1400"/>
    <n v="135"/>
  </r>
  <r>
    <x v="9"/>
    <x v="5"/>
    <s v="After Nines"/>
    <n v="4053"/>
    <n v="24"/>
  </r>
  <r>
    <x v="5"/>
    <x v="2"/>
    <s v="Smooth Sliky Salty"/>
    <n v="2149"/>
    <n v="117"/>
  </r>
  <r>
    <x v="8"/>
    <x v="3"/>
    <s v="Manuka Honey Choco"/>
    <n v="3640"/>
    <n v="51"/>
  </r>
  <r>
    <x v="7"/>
    <x v="3"/>
    <s v="Fruit &amp; Nut Bars"/>
    <n v="630"/>
    <n v="36"/>
  </r>
  <r>
    <x v="2"/>
    <x v="1"/>
    <s v="Organic Choco Syrup"/>
    <n v="2429"/>
    <n v="144"/>
  </r>
  <r>
    <x v="2"/>
    <x v="2"/>
    <s v="White Choc"/>
    <n v="2142"/>
    <n v="114"/>
  </r>
  <r>
    <x v="5"/>
    <x v="0"/>
    <s v="70% Dark Bites"/>
    <n v="6454"/>
    <n v="54"/>
  </r>
  <r>
    <x v="5"/>
    <x v="0"/>
    <s v="Mint Chip Choco"/>
    <n v="4487"/>
    <n v="333"/>
  </r>
  <r>
    <x v="8"/>
    <x v="0"/>
    <s v="Almond Choco"/>
    <n v="938"/>
    <n v="366"/>
  </r>
  <r>
    <x v="8"/>
    <x v="4"/>
    <s v="Baker's Choco Chips"/>
    <n v="8841"/>
    <n v="303"/>
  </r>
  <r>
    <x v="7"/>
    <x v="3"/>
    <s v="Peanut Butter Cubes"/>
    <n v="4018"/>
    <n v="126"/>
  </r>
  <r>
    <x v="3"/>
    <x v="0"/>
    <s v="Raspberry Choco"/>
    <n v="714"/>
    <n v="231"/>
  </r>
  <r>
    <x v="2"/>
    <x v="4"/>
    <s v="White Choc"/>
    <n v="3850"/>
    <n v="1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9589B4-E7BA-4D19-B68E-906C5CEE24B5}"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2:E8" firstHeaderRow="0" firstDataRow="1" firstDataCol="1"/>
  <pivotFields count="5">
    <pivotField showAll="0">
      <items count="11">
        <item h="1" x="7"/>
        <item h="1" x="1"/>
        <item x="3"/>
        <item h="1" x="5"/>
        <item h="1" x="4"/>
        <item h="1" x="6"/>
        <item h="1" x="8"/>
        <item h="1" x="2"/>
        <item h="1" x="9"/>
        <item h="1" x="0"/>
        <item t="default"/>
      </items>
    </pivotField>
    <pivotField axis="axisRow" showAll="0" sortType="descending">
      <items count="7">
        <item x="4"/>
        <item x="2"/>
        <item x="5"/>
        <item x="0"/>
        <item x="3"/>
        <item x="1"/>
        <item t="default"/>
      </items>
      <autoSortScope>
        <pivotArea dataOnly="0" outline="0" fieldPosition="0">
          <references count="1">
            <reference field="4294967294" count="1" selected="0">
              <x v="1"/>
            </reference>
          </references>
        </pivotArea>
      </autoSortScope>
    </pivotField>
    <pivotField showAll="0"/>
    <pivotField dataField="1" numFmtId="164" showAll="0"/>
    <pivotField dataField="1" numFmtId="3" showAll="0"/>
  </pivotFields>
  <rowFields count="1">
    <field x="1"/>
  </rowFields>
  <rowItems count="6">
    <i>
      <x v="1"/>
    </i>
    <i>
      <x v="3"/>
    </i>
    <i>
      <x v="2"/>
    </i>
    <i>
      <x v="5"/>
    </i>
    <i>
      <x/>
    </i>
    <i>
      <x v="4"/>
    </i>
  </rowItems>
  <colFields count="1">
    <field x="-2"/>
  </colFields>
  <colItems count="3">
    <i>
      <x/>
    </i>
    <i i="1">
      <x v="1"/>
    </i>
    <i i="2">
      <x v="2"/>
    </i>
  </colItems>
  <dataFields count="3">
    <dataField name="Sum of Amount" fld="3" baseField="0" baseItem="0" numFmtId="164"/>
    <dataField name="                          " fld="3" baseField="0" baseItem="0" numFmtId="165"/>
    <dataField name="Sum of Units" fld="4" baseField="0" baseItem="0" numFmtId="3"/>
  </dataFields>
  <formats count="1">
    <format dxfId="4">
      <pivotArea outline="0" collapsedLevelsAreSubtotals="1" fieldPosition="0">
        <references count="1">
          <reference field="4294967294" count="1" selected="0">
            <x v="1"/>
          </reference>
        </references>
      </pivotArea>
    </format>
  </formats>
  <conditionalFormats count="1">
    <conditionalFormat scope="field" priority="1">
      <pivotAreas count="1">
        <pivotArea outline="0" collapsedLevelsAreSubtotals="1" fieldPosition="0">
          <references count="2">
            <reference field="4294967294" count="1" selected="0">
              <x v="1"/>
            </reference>
            <reference field="1" count="0" selected="0"/>
          </references>
        </pivotArea>
      </pivotAreas>
    </conditionalFormat>
  </conditional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8387A6-72B9-4FAB-A866-BFFB6E8EF1B4}" name="PivotTable10"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2:D13"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8"/>
    </i>
    <i>
      <x v="7"/>
    </i>
    <i>
      <x/>
    </i>
    <i>
      <x v="2"/>
    </i>
    <i>
      <x v="1"/>
    </i>
    <i>
      <x v="3"/>
    </i>
    <i>
      <x v="5"/>
    </i>
    <i>
      <x v="4"/>
    </i>
    <i>
      <x v="9"/>
    </i>
    <i>
      <x v="6"/>
    </i>
    <i t="grand">
      <x/>
    </i>
  </rowItems>
  <colItems count="1">
    <i/>
  </colItems>
  <dataFields count="1">
    <dataField fld="1"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9" showRowHeaders="1" showColHeaders="1" showRowStripes="0" showColStripes="0" showLastColumn="1"/>
  <filters count="1">
    <filter fld="0" type="count" id="1" iMeasureHier="1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stSpreadsheet.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65DBFC-1D98-4F5C-9C1A-CBD042741D7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H15" firstHeaderRow="1" firstDataRow="1" firstDataCol="1"/>
  <pivotFields count="5">
    <pivotField axis="axisRow" showAll="0" measureFilter="1" sortType="descending">
      <items count="11">
        <item x="7"/>
        <item x="1"/>
        <item x="3"/>
        <item x="5"/>
        <item x="4"/>
        <item x="6"/>
        <item x="8"/>
        <item x="2"/>
        <item x="9"/>
        <item x="0"/>
        <item t="default"/>
      </items>
      <autoSortScope>
        <pivotArea dataOnly="0" outline="0" fieldPosition="0">
          <references count="1">
            <reference field="4294967294" count="1" selected="0">
              <x v="0"/>
            </reference>
          </references>
        </pivotArea>
      </autoSortScope>
    </pivotField>
    <pivotField axis="axisRow" showAll="0" defaultSubtotal="0">
      <items count="6">
        <item x="4"/>
        <item x="2"/>
        <item x="5"/>
        <item x="0"/>
        <item x="3"/>
        <item x="1"/>
      </items>
    </pivotField>
    <pivotField showAll="0"/>
    <pivotField dataField="1" numFmtId="164" showAll="0"/>
    <pivotField numFmtId="3" showAll="0"/>
  </pivotFields>
  <rowFields count="2">
    <field x="1"/>
    <field x="0"/>
  </rowFields>
  <rowItems count="13">
    <i>
      <x/>
    </i>
    <i r="1">
      <x v="2"/>
    </i>
    <i>
      <x v="1"/>
    </i>
    <i r="1">
      <x v="1"/>
    </i>
    <i>
      <x v="2"/>
    </i>
    <i r="1">
      <x v="1"/>
    </i>
    <i>
      <x v="3"/>
    </i>
    <i r="1">
      <x v="8"/>
    </i>
    <i>
      <x v="4"/>
    </i>
    <i r="1">
      <x v="2"/>
    </i>
    <i>
      <x v="5"/>
    </i>
    <i r="1">
      <x/>
    </i>
    <i t="grand">
      <x/>
    </i>
  </rowItems>
  <colItems count="1">
    <i/>
  </colItems>
  <dataFields count="1">
    <dataField name="Sum of Amount" fld="3" baseField="0" baseItem="0" numFmtId="164"/>
  </dataFields>
  <pivotTableStyleInfo name="PivotStyleDark12" showRowHeaders="1" showColHeaders="1" showRowStripes="0" showColStripes="0" showLastColumn="1"/>
  <filters count="1">
    <filter fld="0" type="count" evalOrder="-1" id="2"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4F6C33-6D9E-4AEF-8F40-8D59EBA4435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15" firstHeaderRow="1" firstDataRow="1" firstDataCol="1"/>
  <pivotFields count="5">
    <pivotField axis="axisRow" showAll="0" measureFilter="1" sortType="descending">
      <items count="11">
        <item x="7"/>
        <item x="1"/>
        <item x="3"/>
        <item x="5"/>
        <item x="4"/>
        <item x="6"/>
        <item x="8"/>
        <item x="2"/>
        <item x="9"/>
        <item x="0"/>
        <item t="default"/>
      </items>
      <autoSortScope>
        <pivotArea dataOnly="0" outline="0" fieldPosition="0">
          <references count="1">
            <reference field="4294967294" count="1" selected="0">
              <x v="0"/>
            </reference>
          </references>
        </pivotArea>
      </autoSortScope>
    </pivotField>
    <pivotField axis="axisRow" showAll="0" defaultSubtotal="0">
      <items count="6">
        <item x="4"/>
        <item x="2"/>
        <item x="5"/>
        <item x="0"/>
        <item x="3"/>
        <item x="1"/>
      </items>
    </pivotField>
    <pivotField showAll="0"/>
    <pivotField dataField="1" numFmtId="164" showAll="0"/>
    <pivotField numFmtId="3" showAll="0"/>
  </pivotFields>
  <rowFields count="2">
    <field x="1"/>
    <field x="0"/>
  </rowFields>
  <rowItems count="13">
    <i>
      <x/>
    </i>
    <i r="1">
      <x v="5"/>
    </i>
    <i>
      <x v="1"/>
    </i>
    <i r="1">
      <x v="5"/>
    </i>
    <i>
      <x v="2"/>
    </i>
    <i r="1">
      <x v="5"/>
    </i>
    <i>
      <x v="3"/>
    </i>
    <i r="1">
      <x v="3"/>
    </i>
    <i>
      <x v="4"/>
    </i>
    <i r="1">
      <x/>
    </i>
    <i>
      <x v="5"/>
    </i>
    <i r="1">
      <x v="9"/>
    </i>
    <i t="grand">
      <x/>
    </i>
  </rowItems>
  <colItems count="1">
    <i/>
  </colItems>
  <dataFields count="1">
    <dataField name="Sum of Amount" fld="3" baseField="0" baseItem="0" numFmtId="164"/>
  </dataFields>
  <pivotTableStyleInfo name="PivotStyleDark12"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081AB8-EEFB-42AB-8D5C-763BB16CDCE8}" name="PivotTable6"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2:C25" firstHeaderRow="1" firstDataRow="1" firstDataCol="1"/>
  <pivotFields count="2">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Total profit" fld="1"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profit"/>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BAC6A1-99A7-4B19-A755-12609B32539A}"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F23" firstHeaderRow="0" firstDataRow="1" firstDataCol="1"/>
  <pivotFields count="6">
    <pivotField axis="axisRow"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3"/>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1">
    <i>
      <x v="5"/>
    </i>
    <i>
      <x v="12"/>
    </i>
    <i>
      <x v="18"/>
    </i>
    <i>
      <x v="1"/>
    </i>
    <i>
      <x v="7"/>
    </i>
    <i>
      <x v="4"/>
    </i>
    <i>
      <x v="11"/>
    </i>
    <i>
      <x/>
    </i>
    <i>
      <x v="16"/>
    </i>
    <i>
      <x v="14"/>
    </i>
    <i>
      <x v="13"/>
    </i>
    <i>
      <x v="3"/>
    </i>
    <i>
      <x v="19"/>
    </i>
    <i>
      <x v="10"/>
    </i>
    <i>
      <x v="8"/>
    </i>
    <i>
      <x v="6"/>
    </i>
    <i>
      <x v="17"/>
    </i>
    <i>
      <x v="15"/>
    </i>
    <i>
      <x v="2"/>
    </i>
    <i>
      <x v="9"/>
    </i>
    <i t="grand">
      <x/>
    </i>
  </rowItems>
  <colFields count="1">
    <field x="-2"/>
  </colFields>
  <colItems count="4">
    <i>
      <x/>
    </i>
    <i i="1">
      <x v="1"/>
    </i>
    <i i="2">
      <x v="2"/>
    </i>
    <i i="3">
      <x v="3"/>
    </i>
  </colItems>
  <dataFields count="4">
    <dataField name="Sum of Amount" fld="1" baseField="0" baseItem="0"/>
    <dataField name="Sum of Units" fld="2" baseField="0" baseItem="0"/>
    <dataField name="Total Profit" fld="3" subtotal="count" baseField="0" baseItem="0" numFmtId="165"/>
    <dataField fld="4" subtotal="count" baseField="0" baseItem="0"/>
  </dataFields>
  <formats count="1">
    <format dxfId="19">
      <pivotArea outline="0" collapsedLevelsAreSubtotals="1" fieldPosition="0">
        <references count="1">
          <reference field="4294967294" count="1" selected="0">
            <x v="2"/>
          </reference>
        </references>
      </pivotArea>
    </format>
  </formats>
  <conditionalFormats count="2">
    <conditionalFormat priority="1">
      <pivotAreas count="1">
        <pivotArea type="data" collapsedLevelsAreSubtotals="1" fieldPosition="0">
          <references count="2">
            <reference field="4294967294" count="1" selected="0">
              <x v="3"/>
            </reference>
            <reference field="0" count="19">
              <x v="0"/>
              <x v="1"/>
              <x v="2"/>
              <x v="3"/>
              <x v="4"/>
              <x v="6"/>
              <x v="7"/>
              <x v="8"/>
              <x v="9"/>
              <x v="10"/>
              <x v="11"/>
              <x v="12"/>
              <x v="13"/>
              <x v="14"/>
              <x v="15"/>
              <x v="16"/>
              <x v="17"/>
              <x v="18"/>
              <x v="19"/>
            </reference>
          </references>
        </pivotArea>
      </pivotAreas>
    </conditionalFormat>
    <conditionalFormat priority="2">
      <pivotAreas count="1">
        <pivotArea type="data" outline="0" collapsedLevelsAreSubtotals="1" fieldPosition="0">
          <references count="1">
            <reference field="4294967294" count="1" selected="0">
              <x v="3"/>
            </reference>
          </references>
        </pivotArea>
      </pivotAreas>
    </conditionalFormat>
  </conditionalFormats>
  <pivotHierarchies count="25">
    <pivotHierarchy dragToData="1"/>
    <pivotHierarchy multipleItemSelectionAllowed="1" dragToData="1">
      <members count="1" level="1">
        <member name="[Data].[Geography].&amp;[New Zealan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Profit"/>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stSpreadsheet.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796C730F-79E8-4489-8DC7-3076ABAE06CE}" sourceName="Sales Person">
  <pivotTables>
    <pivotTable tabId="5" name="PivotTable7"/>
  </pivotTables>
  <data>
    <tabular pivotCacheId="838825196">
      <items count="10">
        <i x="7"/>
        <i x="1"/>
        <i x="3" s="1"/>
        <i x="5"/>
        <i x="4"/>
        <i x="6"/>
        <i x="8"/>
        <i x="2"/>
        <i x="9"/>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033B76EF-8A32-490F-BBDF-E11F0B420A34}" sourceName="[Data].[Geography]">
  <pivotTables>
    <pivotTable tabId="29" name="PivotTable6"/>
  </pivotTables>
  <data>
    <olap pivotCacheId="1401651129">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4E63FC68-6572-45EC-8959-E443DA1A0E8B}" sourceName="[Data].[Geography]">
  <pivotTables>
    <pivotTable tabId="32" name="PivotTable7"/>
  </pivotTables>
  <data>
    <olap pivotCacheId="1401651129">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mp;[New Zealan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FD7045BF-A2AF-4B30-9BD5-2AE95F87AA75}" cache="Slicer_Sales_Person" caption="Sales Person" columnCount="2"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01F167FE-FE2F-4F37-9072-9868B9182FAC}" cache="Slicer_Geography" caption="Geography"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40A28DC3-5FDB-4885-B545-AA377C550AAD}" cache="Slicer_Geography1" caption="Geograph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761F12-2D8A-4F84-99D2-5D21F2907F8F}" name="Data" displayName="Data" ref="D2:J302" totalsRowShown="0" headerRowDxfId="18">
  <autoFilter ref="D2:J302" xr:uid="{74761F12-2D8A-4F84-99D2-5D21F2907F8F}"/>
  <tableColumns count="7">
    <tableColumn id="1" xr3:uid="{128F9AE2-FB42-452F-9849-2B5777BB1094}" name="Sales Person"/>
    <tableColumn id="2" xr3:uid="{63806735-104C-48BB-8B52-D7BA5E9BF7F6}" name="Geography"/>
    <tableColumn id="3" xr3:uid="{D3F7689E-F677-431F-8899-34F38E0809B0}" name="Product"/>
    <tableColumn id="4" xr3:uid="{471CA85E-C6E5-4FC9-B3D9-026DE4162D64}" name="Amount" dataDxfId="17"/>
    <tableColumn id="5" xr3:uid="{BEE85F26-856D-42B1-839D-5F830F3C4A43}" name="Units" dataDxfId="16"/>
    <tableColumn id="6" xr3:uid="{C87BE33F-F0AA-4B54-8C7A-3D4EF6E28ABD}" name="Cost per unit" dataDxfId="15">
      <calculatedColumnFormula>_xlfn.XLOOKUP(Data[[#This Row],[Product]],products[Product],products[Cost per unit])</calculatedColumnFormula>
    </tableColumn>
    <tableColumn id="7" xr3:uid="{4C5756A6-E630-468D-AB5D-11287D309F4C}" name="Cost " dataDxfId="14">
      <calculatedColumnFormula>Data[[#This Row],[Cost per unit]]*Data[[#This Row],[Units]]</calculatedColumnFormula>
    </tableColumn>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4B040E9-FBC0-4176-BC79-FEDE0B4426BF}" name="products" displayName="products" ref="R2:S24" totalsRowShown="0">
  <autoFilter ref="R2:S24" xr:uid="{A4B040E9-FBC0-4176-BC79-FEDE0B4426BF}"/>
  <tableColumns count="2">
    <tableColumn id="1" xr3:uid="{1CD6ACF5-AABA-420F-91B2-457513CE4D4C}" name="Product"/>
    <tableColumn id="2" xr3:uid="{011AA76E-C1CF-4F95-9AD3-5C317839EAD9}" name="Cost per unit"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B8BF217-826E-479E-869D-48A0EA38C5EE}" name="Question" displayName="Question" ref="H2:J12" totalsRowShown="0">
  <autoFilter ref="H2:J12" xr:uid="{6B8BF217-826E-479E-869D-48A0EA38C5EE}"/>
  <tableColumns count="3">
    <tableColumn id="1" xr3:uid="{A653C4E2-4994-412E-A987-9A83F8DE61E7}" name="Questions"/>
    <tableColumn id="2" xr3:uid="{FF626E25-FAD9-43F6-A773-147AFD4C5560}" name="Amount" dataDxfId="12"/>
    <tableColumn id="3" xr3:uid="{18D5F587-E989-4F52-8CB6-BA444ECA8BA6}" name="Units"/>
  </tableColumns>
  <tableStyleInfo name="TableStyleMedium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8564F8-D025-4094-A733-BB243222DEEE}" name="Highlights" displayName="Highlights" ref="D2:H302" totalsRowShown="0" headerRowDxfId="11">
  <autoFilter ref="D2:H302" xr:uid="{048564F8-D025-4094-A733-BB243222DEEE}"/>
  <sortState xmlns:xlrd2="http://schemas.microsoft.com/office/spreadsheetml/2017/richdata2" ref="D3:H302">
    <sortCondition descending="1" ref="G2:G302"/>
  </sortState>
  <tableColumns count="5">
    <tableColumn id="1" xr3:uid="{D5FF4E50-32DE-42B8-A8D8-8F5DA2BD6345}" name="Sales Person"/>
    <tableColumn id="2" xr3:uid="{4BEEDE9B-644F-4A2C-953D-2FCA7295BCE5}" name="Geography"/>
    <tableColumn id="3" xr3:uid="{EDA130F0-D773-47F2-849C-325544D367BF}" name="Product"/>
    <tableColumn id="4" xr3:uid="{1FDA1B5F-4B87-4269-B755-E58D61823223}" name="Amount" dataDxfId="10"/>
    <tableColumn id="5" xr3:uid="{783322DE-7A08-4901-9905-648C811B0994}" name="Units" dataDxfId="9"/>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A222F60-8049-4CC4-BBCC-FF6474044D37}" name="AmtBar" displayName="AmtBar" ref="C2:F8" totalsRowShown="0" headerRowDxfId="8">
  <autoFilter ref="C2:F8" xr:uid="{3A222F60-8049-4CC4-BBCC-FF6474044D37}"/>
  <tableColumns count="4">
    <tableColumn id="1" xr3:uid="{5634D3D2-A4BF-4793-84F8-8E22E0025A25}" name="Country" dataDxfId="7"/>
    <tableColumn id="2" xr3:uid="{273743E4-FE4B-4131-B068-6DD962FA37E3}" name="Amount" dataDxfId="6">
      <calculatedColumnFormula>SUMIFS(Data[Amount],Data[Geography],C3)</calculatedColumnFormula>
    </tableColumn>
    <tableColumn id="3" xr3:uid="{92EFB27D-0D44-4CB1-A6B2-F3252D75AFD1}" name="          " dataDxfId="5">
      <calculatedColumnFormula>SUMIFS(Data[Amount],Data[Geography],$C3)</calculatedColumnFormula>
    </tableColumn>
    <tableColumn id="4" xr3:uid="{7EDBB403-999F-4F75-99B4-07C390947DC9}" name="Units">
      <calculatedColumnFormula>SUMIFS(Data[Units],Data[Geography],$C3)</calculatedColumnFormula>
    </tableColumn>
  </tableColumns>
  <tableStyleInfo name="TableStyleMedium2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96BF00-BBC0-4FA9-A61B-3E490A12DB77}" name="Anomalies" displayName="Anomalies" ref="M2:Q302" totalsRowShown="0" headerRowDxfId="3">
  <autoFilter ref="M2:Q302" xr:uid="{FA96BF00-BBC0-4FA9-A61B-3E490A12DB77}">
    <filterColumn colId="0" hiddenButton="1"/>
    <filterColumn colId="1" hiddenButton="1"/>
    <filterColumn colId="2" hiddenButton="1"/>
    <filterColumn colId="3" hiddenButton="1"/>
    <filterColumn colId="4" hiddenButton="1"/>
  </autoFilter>
  <tableColumns count="5">
    <tableColumn id="1" xr3:uid="{0AD8CCC4-D3B7-486E-BC1A-0CE72BFBBA80}" name="Sales Person"/>
    <tableColumn id="2" xr3:uid="{620A8016-7ADF-4C64-AA2B-B02F64BA9B90}" name="Geography"/>
    <tableColumn id="3" xr3:uid="{02E77446-D201-43A4-B799-7890D0AE3DB5}" name="Product"/>
    <tableColumn id="4" xr3:uid="{3D1415A5-3AF1-465E-A5B2-4B204CFBCF13}" name="Amount" dataDxfId="2"/>
    <tableColumn id="5" xr3:uid="{095F4A94-7F4A-449F-A913-4F893FB81C65}" name="Units" dataDxfId="1"/>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6F6A5-1D78-4A00-BBD0-5C9EF045334A}">
  <dimension ref="A1:S302"/>
  <sheetViews>
    <sheetView zoomScale="85" zoomScaleNormal="29" workbookViewId="0">
      <selection sqref="A1:XFD1"/>
    </sheetView>
  </sheetViews>
  <sheetFormatPr defaultRowHeight="15" x14ac:dyDescent="0.25"/>
  <cols>
    <col min="1" max="1" width="15.42578125" customWidth="1"/>
    <col min="2" max="2" width="15.85546875" customWidth="1"/>
    <col min="3" max="3" width="16.5703125" customWidth="1"/>
    <col min="4" max="4" width="20.85546875" style="5" customWidth="1"/>
    <col min="5" max="5" width="16.42578125" customWidth="1"/>
    <col min="6" max="6" width="14" customWidth="1"/>
    <col min="7" max="7" width="15.140625" customWidth="1"/>
    <col min="17" max="17" width="20.140625" customWidth="1"/>
    <col min="18" max="18" width="20.85546875" customWidth="1"/>
    <col min="19" max="19" width="15.5703125" customWidth="1"/>
  </cols>
  <sheetData>
    <row r="1" spans="1:19" s="25" customFormat="1" ht="51" x14ac:dyDescent="0.8">
      <c r="A1" s="24" t="s">
        <v>75</v>
      </c>
    </row>
    <row r="2" spans="1:19" x14ac:dyDescent="0.25">
      <c r="D2" s="1" t="s">
        <v>0</v>
      </c>
      <c r="E2" s="1" t="s">
        <v>1</v>
      </c>
      <c r="F2" s="1" t="s">
        <v>2</v>
      </c>
      <c r="G2" s="4" t="s">
        <v>3</v>
      </c>
      <c r="H2" s="2" t="s">
        <v>4</v>
      </c>
      <c r="I2" s="1" t="s">
        <v>59</v>
      </c>
      <c r="J2" s="1" t="s">
        <v>55</v>
      </c>
      <c r="R2" t="s">
        <v>2</v>
      </c>
      <c r="S2" t="s">
        <v>59</v>
      </c>
    </row>
    <row r="3" spans="1:19" x14ac:dyDescent="0.25">
      <c r="D3" t="s">
        <v>5</v>
      </c>
      <c r="E3" t="s">
        <v>6</v>
      </c>
      <c r="F3" t="s">
        <v>7</v>
      </c>
      <c r="G3" s="5">
        <v>1624</v>
      </c>
      <c r="H3" s="3">
        <v>114</v>
      </c>
      <c r="I3">
        <f>_xlfn.XLOOKUP(Data[[#This Row],[Product]],products[Product],products[Cost per unit])</f>
        <v>14.49</v>
      </c>
      <c r="J3">
        <f>Data[[#This Row],[Cost per unit]]*Data[[#This Row],[Units]]</f>
        <v>1651.8600000000001</v>
      </c>
      <c r="R3" t="s">
        <v>31</v>
      </c>
      <c r="S3" s="15">
        <v>9.33</v>
      </c>
    </row>
    <row r="4" spans="1:19" x14ac:dyDescent="0.25">
      <c r="D4" t="s">
        <v>8</v>
      </c>
      <c r="E4" t="s">
        <v>9</v>
      </c>
      <c r="F4" t="s">
        <v>10</v>
      </c>
      <c r="G4" s="5">
        <v>6706</v>
      </c>
      <c r="H4" s="3">
        <v>459</v>
      </c>
      <c r="I4">
        <f>_xlfn.XLOOKUP(Data[[#This Row],[Product]],products[Product],products[Cost per unit])</f>
        <v>8.65</v>
      </c>
      <c r="J4">
        <f>Data[[#This Row],[Cost per unit]]*Data[[#This Row],[Units]]</f>
        <v>3970.3500000000004</v>
      </c>
      <c r="R4" t="s">
        <v>24</v>
      </c>
      <c r="S4" s="15">
        <v>11.7</v>
      </c>
    </row>
    <row r="5" spans="1:19" x14ac:dyDescent="0.25">
      <c r="D5" t="s">
        <v>11</v>
      </c>
      <c r="E5" t="s">
        <v>9</v>
      </c>
      <c r="F5" t="s">
        <v>12</v>
      </c>
      <c r="G5" s="5">
        <v>959</v>
      </c>
      <c r="H5" s="3">
        <v>147</v>
      </c>
      <c r="I5">
        <f>_xlfn.XLOOKUP(Data[[#This Row],[Product]],products[Product],products[Cost per unit])</f>
        <v>11.88</v>
      </c>
      <c r="J5">
        <f>Data[[#This Row],[Cost per unit]]*Data[[#This Row],[Units]]</f>
        <v>1746.3600000000001</v>
      </c>
      <c r="R5" t="s">
        <v>12</v>
      </c>
      <c r="S5" s="15">
        <v>11.88</v>
      </c>
    </row>
    <row r="6" spans="1:19" x14ac:dyDescent="0.25">
      <c r="D6" t="s">
        <v>13</v>
      </c>
      <c r="E6" t="s">
        <v>14</v>
      </c>
      <c r="F6" t="s">
        <v>15</v>
      </c>
      <c r="G6" s="5">
        <v>9632</v>
      </c>
      <c r="H6" s="3">
        <v>288</v>
      </c>
      <c r="I6">
        <f>_xlfn.XLOOKUP(Data[[#This Row],[Product]],products[Product],products[Cost per unit])</f>
        <v>6.47</v>
      </c>
      <c r="J6">
        <f>Data[[#This Row],[Cost per unit]]*Data[[#This Row],[Units]]</f>
        <v>1863.36</v>
      </c>
      <c r="R6" t="s">
        <v>37</v>
      </c>
      <c r="S6" s="15">
        <v>11.73</v>
      </c>
    </row>
    <row r="7" spans="1:19" x14ac:dyDescent="0.25">
      <c r="D7" t="s">
        <v>16</v>
      </c>
      <c r="E7" t="s">
        <v>17</v>
      </c>
      <c r="F7" t="s">
        <v>18</v>
      </c>
      <c r="G7" s="5">
        <v>2100</v>
      </c>
      <c r="H7" s="3">
        <v>414</v>
      </c>
      <c r="I7">
        <f>_xlfn.XLOOKUP(Data[[#This Row],[Product]],products[Product],products[Cost per unit])</f>
        <v>13.15</v>
      </c>
      <c r="J7">
        <f>Data[[#This Row],[Cost per unit]]*Data[[#This Row],[Units]]</f>
        <v>5444.1</v>
      </c>
      <c r="R7" t="s">
        <v>29</v>
      </c>
      <c r="S7" s="15">
        <v>8.7899999999999991</v>
      </c>
    </row>
    <row r="8" spans="1:19" x14ac:dyDescent="0.25">
      <c r="D8" t="s">
        <v>5</v>
      </c>
      <c r="E8" t="s">
        <v>9</v>
      </c>
      <c r="F8" t="s">
        <v>19</v>
      </c>
      <c r="G8" s="5">
        <v>8869</v>
      </c>
      <c r="H8" s="3">
        <v>432</v>
      </c>
      <c r="I8">
        <f>_xlfn.XLOOKUP(Data[[#This Row],[Product]],products[Product],products[Cost per unit])</f>
        <v>12.37</v>
      </c>
      <c r="J8">
        <f>Data[[#This Row],[Cost per unit]]*Data[[#This Row],[Units]]</f>
        <v>5343.8399999999992</v>
      </c>
      <c r="R8" t="s">
        <v>28</v>
      </c>
      <c r="S8" s="15">
        <v>3.11</v>
      </c>
    </row>
    <row r="9" spans="1:19" x14ac:dyDescent="0.25">
      <c r="D9" t="s">
        <v>16</v>
      </c>
      <c r="E9" t="s">
        <v>20</v>
      </c>
      <c r="F9" t="s">
        <v>21</v>
      </c>
      <c r="G9" s="5">
        <v>2681</v>
      </c>
      <c r="H9" s="3">
        <v>54</v>
      </c>
      <c r="I9">
        <f>_xlfn.XLOOKUP(Data[[#This Row],[Product]],products[Product],products[Cost per unit])</f>
        <v>5.79</v>
      </c>
      <c r="J9">
        <f>Data[[#This Row],[Cost per unit]]*Data[[#This Row],[Units]]</f>
        <v>312.66000000000003</v>
      </c>
      <c r="R9" t="s">
        <v>15</v>
      </c>
      <c r="S9" s="15">
        <v>6.47</v>
      </c>
    </row>
    <row r="10" spans="1:19" x14ac:dyDescent="0.25">
      <c r="D10" t="s">
        <v>8</v>
      </c>
      <c r="E10" t="s">
        <v>9</v>
      </c>
      <c r="F10" t="s">
        <v>22</v>
      </c>
      <c r="G10" s="5">
        <v>5012</v>
      </c>
      <c r="H10" s="3">
        <v>210</v>
      </c>
      <c r="I10" s="7">
        <f>_xlfn.XLOOKUP(Data[[#This Row],[Product]],products[Product],products[Cost per unit])</f>
        <v>9.77</v>
      </c>
      <c r="J10">
        <f>Data[[#This Row],[Cost per unit]]*Data[[#This Row],[Units]]</f>
        <v>2051.6999999999998</v>
      </c>
      <c r="R10" t="s">
        <v>36</v>
      </c>
      <c r="S10" s="15">
        <v>7.64</v>
      </c>
    </row>
    <row r="11" spans="1:19" x14ac:dyDescent="0.25">
      <c r="D11" t="s">
        <v>23</v>
      </c>
      <c r="E11" t="s">
        <v>20</v>
      </c>
      <c r="F11" t="s">
        <v>24</v>
      </c>
      <c r="G11" s="5">
        <v>1281</v>
      </c>
      <c r="H11" s="3">
        <v>75</v>
      </c>
      <c r="I11">
        <f>_xlfn.XLOOKUP(Data[[#This Row],[Product]],products[Product],products[Cost per unit])</f>
        <v>11.7</v>
      </c>
      <c r="J11">
        <f>Data[[#This Row],[Cost per unit]]*Data[[#This Row],[Units]]</f>
        <v>877.5</v>
      </c>
      <c r="R11" t="s">
        <v>33</v>
      </c>
      <c r="S11" s="15">
        <v>10.62</v>
      </c>
    </row>
    <row r="12" spans="1:19" x14ac:dyDescent="0.25">
      <c r="D12" t="s">
        <v>25</v>
      </c>
      <c r="E12" t="s">
        <v>6</v>
      </c>
      <c r="F12" t="s">
        <v>24</v>
      </c>
      <c r="G12" s="5">
        <v>4991</v>
      </c>
      <c r="H12" s="3">
        <v>12</v>
      </c>
      <c r="I12">
        <f>_xlfn.XLOOKUP(Data[[#This Row],[Product]],products[Product],products[Cost per unit])</f>
        <v>11.7</v>
      </c>
      <c r="J12">
        <f>Data[[#This Row],[Cost per unit]]*Data[[#This Row],[Units]]</f>
        <v>140.39999999999998</v>
      </c>
      <c r="R12" t="s">
        <v>41</v>
      </c>
      <c r="S12" s="15">
        <v>9</v>
      </c>
    </row>
    <row r="13" spans="1:19" x14ac:dyDescent="0.25">
      <c r="D13" t="s">
        <v>26</v>
      </c>
      <c r="E13" t="s">
        <v>17</v>
      </c>
      <c r="F13" t="s">
        <v>18</v>
      </c>
      <c r="G13" s="5">
        <v>1785</v>
      </c>
      <c r="H13" s="3">
        <v>462</v>
      </c>
      <c r="I13">
        <f>_xlfn.XLOOKUP(Data[[#This Row],[Product]],products[Product],products[Cost per unit])</f>
        <v>13.15</v>
      </c>
      <c r="J13">
        <f>Data[[#This Row],[Cost per unit]]*Data[[#This Row],[Units]]</f>
        <v>6075.3</v>
      </c>
      <c r="R13" t="s">
        <v>22</v>
      </c>
      <c r="S13" s="15">
        <v>9.77</v>
      </c>
    </row>
    <row r="14" spans="1:19" x14ac:dyDescent="0.25">
      <c r="D14" t="s">
        <v>27</v>
      </c>
      <c r="E14" t="s">
        <v>6</v>
      </c>
      <c r="F14" t="s">
        <v>28</v>
      </c>
      <c r="G14" s="5">
        <v>3983</v>
      </c>
      <c r="H14" s="3">
        <v>144</v>
      </c>
      <c r="I14">
        <f>_xlfn.XLOOKUP(Data[[#This Row],[Product]],products[Product],products[Cost per unit])</f>
        <v>3.11</v>
      </c>
      <c r="J14">
        <f>Data[[#This Row],[Cost per unit]]*Data[[#This Row],[Units]]</f>
        <v>447.84</v>
      </c>
      <c r="R14" t="s">
        <v>34</v>
      </c>
      <c r="S14" s="15">
        <v>6.49</v>
      </c>
    </row>
    <row r="15" spans="1:19" x14ac:dyDescent="0.25">
      <c r="D15" t="s">
        <v>11</v>
      </c>
      <c r="E15" t="s">
        <v>20</v>
      </c>
      <c r="F15" t="s">
        <v>29</v>
      </c>
      <c r="G15" s="5">
        <v>2646</v>
      </c>
      <c r="H15" s="3">
        <v>120</v>
      </c>
      <c r="I15">
        <f>_xlfn.XLOOKUP(Data[[#This Row],[Product]],products[Product],products[Cost per unit])</f>
        <v>8.7899999999999991</v>
      </c>
      <c r="J15">
        <f>Data[[#This Row],[Cost per unit]]*Data[[#This Row],[Units]]</f>
        <v>1054.8</v>
      </c>
      <c r="R15" t="s">
        <v>38</v>
      </c>
      <c r="S15" s="15">
        <v>4.97</v>
      </c>
    </row>
    <row r="16" spans="1:19" x14ac:dyDescent="0.25">
      <c r="D16" t="s">
        <v>26</v>
      </c>
      <c r="E16" t="s">
        <v>30</v>
      </c>
      <c r="F16" t="s">
        <v>31</v>
      </c>
      <c r="G16" s="5">
        <v>252</v>
      </c>
      <c r="H16" s="3">
        <v>54</v>
      </c>
      <c r="I16">
        <f>_xlfn.XLOOKUP(Data[[#This Row],[Product]],products[Product],products[Cost per unit])</f>
        <v>9.33</v>
      </c>
      <c r="J16">
        <f>Data[[#This Row],[Cost per unit]]*Data[[#This Row],[Units]]</f>
        <v>503.82</v>
      </c>
      <c r="R16" t="s">
        <v>18</v>
      </c>
      <c r="S16" s="15">
        <v>13.15</v>
      </c>
    </row>
    <row r="17" spans="4:19" x14ac:dyDescent="0.25">
      <c r="D17" t="s">
        <v>27</v>
      </c>
      <c r="E17" t="s">
        <v>9</v>
      </c>
      <c r="F17" t="s">
        <v>18</v>
      </c>
      <c r="G17" s="5">
        <v>2464</v>
      </c>
      <c r="H17" s="3">
        <v>234</v>
      </c>
      <c r="I17">
        <f>_xlfn.XLOOKUP(Data[[#This Row],[Product]],products[Product],products[Cost per unit])</f>
        <v>13.15</v>
      </c>
      <c r="J17">
        <f>Data[[#This Row],[Cost per unit]]*Data[[#This Row],[Units]]</f>
        <v>3077.1</v>
      </c>
      <c r="R17" t="s">
        <v>42</v>
      </c>
      <c r="S17" s="15">
        <v>5.6</v>
      </c>
    </row>
    <row r="18" spans="4:19" x14ac:dyDescent="0.25">
      <c r="D18" t="s">
        <v>27</v>
      </c>
      <c r="E18" t="s">
        <v>9</v>
      </c>
      <c r="F18" t="s">
        <v>32</v>
      </c>
      <c r="G18" s="5">
        <v>2114</v>
      </c>
      <c r="H18" s="3">
        <v>66</v>
      </c>
      <c r="I18">
        <f>_xlfn.XLOOKUP(Data[[#This Row],[Product]],products[Product],products[Cost per unit])</f>
        <v>7.16</v>
      </c>
      <c r="J18">
        <f>Data[[#This Row],[Cost per unit]]*Data[[#This Row],[Units]]</f>
        <v>472.56</v>
      </c>
      <c r="R18" t="s">
        <v>39</v>
      </c>
      <c r="S18" s="15">
        <v>16.73</v>
      </c>
    </row>
    <row r="19" spans="4:19" x14ac:dyDescent="0.25">
      <c r="D19" t="s">
        <v>16</v>
      </c>
      <c r="E19" t="s">
        <v>6</v>
      </c>
      <c r="F19" t="s">
        <v>21</v>
      </c>
      <c r="G19" s="5">
        <v>7693</v>
      </c>
      <c r="H19" s="3">
        <v>87</v>
      </c>
      <c r="I19">
        <f>_xlfn.XLOOKUP(Data[[#This Row],[Product]],products[Product],products[Cost per unit])</f>
        <v>5.79</v>
      </c>
      <c r="J19">
        <f>Data[[#This Row],[Cost per unit]]*Data[[#This Row],[Units]]</f>
        <v>503.73</v>
      </c>
      <c r="R19" t="s">
        <v>40</v>
      </c>
      <c r="S19" s="15">
        <v>10.38</v>
      </c>
    </row>
    <row r="20" spans="4:19" x14ac:dyDescent="0.25">
      <c r="D20" t="s">
        <v>25</v>
      </c>
      <c r="E20" t="s">
        <v>30</v>
      </c>
      <c r="F20" t="s">
        <v>33</v>
      </c>
      <c r="G20" s="5">
        <v>15610</v>
      </c>
      <c r="H20" s="3">
        <v>339</v>
      </c>
      <c r="I20">
        <f>_xlfn.XLOOKUP(Data[[#This Row],[Product]],products[Product],products[Cost per unit])</f>
        <v>10.62</v>
      </c>
      <c r="J20">
        <f>Data[[#This Row],[Cost per unit]]*Data[[#This Row],[Units]]</f>
        <v>3600.18</v>
      </c>
      <c r="R20" t="s">
        <v>32</v>
      </c>
      <c r="S20" s="15">
        <v>7.16</v>
      </c>
    </row>
    <row r="21" spans="4:19" x14ac:dyDescent="0.25">
      <c r="D21" t="s">
        <v>13</v>
      </c>
      <c r="E21" t="s">
        <v>30</v>
      </c>
      <c r="F21" t="s">
        <v>22</v>
      </c>
      <c r="G21" s="5">
        <v>336</v>
      </c>
      <c r="H21" s="3">
        <v>144</v>
      </c>
      <c r="I21">
        <f>_xlfn.XLOOKUP(Data[[#This Row],[Product]],products[Product],products[Cost per unit])</f>
        <v>9.77</v>
      </c>
      <c r="J21">
        <f>Data[[#This Row],[Cost per unit]]*Data[[#This Row],[Units]]</f>
        <v>1406.8799999999999</v>
      </c>
      <c r="R21" t="s">
        <v>7</v>
      </c>
      <c r="S21" s="15">
        <v>14.49</v>
      </c>
    </row>
    <row r="22" spans="4:19" x14ac:dyDescent="0.25">
      <c r="D22" t="s">
        <v>26</v>
      </c>
      <c r="E22" t="s">
        <v>17</v>
      </c>
      <c r="F22" t="s">
        <v>33</v>
      </c>
      <c r="G22" s="5">
        <v>9443</v>
      </c>
      <c r="H22" s="3">
        <v>162</v>
      </c>
      <c r="I22">
        <f>_xlfn.XLOOKUP(Data[[#This Row],[Product]],products[Product],products[Cost per unit])</f>
        <v>10.62</v>
      </c>
      <c r="J22">
        <f>Data[[#This Row],[Cost per unit]]*Data[[#This Row],[Units]]</f>
        <v>1720.4399999999998</v>
      </c>
      <c r="R22" t="s">
        <v>21</v>
      </c>
      <c r="S22" s="15">
        <v>5.79</v>
      </c>
    </row>
    <row r="23" spans="4:19" x14ac:dyDescent="0.25">
      <c r="D23" t="s">
        <v>11</v>
      </c>
      <c r="E23" t="s">
        <v>30</v>
      </c>
      <c r="F23" t="s">
        <v>34</v>
      </c>
      <c r="G23" s="5">
        <v>8155</v>
      </c>
      <c r="H23" s="3">
        <v>90</v>
      </c>
      <c r="I23">
        <f>_xlfn.XLOOKUP(Data[[#This Row],[Product]],products[Product],products[Cost per unit])</f>
        <v>6.49</v>
      </c>
      <c r="J23">
        <f>Data[[#This Row],[Cost per unit]]*Data[[#This Row],[Units]]</f>
        <v>584.1</v>
      </c>
      <c r="R23" t="s">
        <v>10</v>
      </c>
      <c r="S23" s="15">
        <v>8.65</v>
      </c>
    </row>
    <row r="24" spans="4:19" x14ac:dyDescent="0.25">
      <c r="D24" t="s">
        <v>8</v>
      </c>
      <c r="E24" t="s">
        <v>20</v>
      </c>
      <c r="F24" t="s">
        <v>34</v>
      </c>
      <c r="G24" s="5">
        <v>1701</v>
      </c>
      <c r="H24" s="3">
        <v>234</v>
      </c>
      <c r="I24">
        <f>_xlfn.XLOOKUP(Data[[#This Row],[Product]],products[Product],products[Cost per unit])</f>
        <v>6.49</v>
      </c>
      <c r="J24">
        <f>Data[[#This Row],[Cost per unit]]*Data[[#This Row],[Units]]</f>
        <v>1518.66</v>
      </c>
      <c r="R24" t="s">
        <v>19</v>
      </c>
      <c r="S24" s="15">
        <v>12.37</v>
      </c>
    </row>
    <row r="25" spans="4:19" x14ac:dyDescent="0.25">
      <c r="D25" t="s">
        <v>35</v>
      </c>
      <c r="E25" t="s">
        <v>20</v>
      </c>
      <c r="F25" t="s">
        <v>22</v>
      </c>
      <c r="G25" s="5">
        <v>2205</v>
      </c>
      <c r="H25" s="3">
        <v>141</v>
      </c>
      <c r="I25">
        <f>_xlfn.XLOOKUP(Data[[#This Row],[Product]],products[Product],products[Cost per unit])</f>
        <v>9.77</v>
      </c>
      <c r="J25">
        <f>Data[[#This Row],[Cost per unit]]*Data[[#This Row],[Units]]</f>
        <v>1377.57</v>
      </c>
    </row>
    <row r="26" spans="4:19" x14ac:dyDescent="0.25">
      <c r="D26" t="s">
        <v>8</v>
      </c>
      <c r="E26" t="s">
        <v>6</v>
      </c>
      <c r="F26" t="s">
        <v>36</v>
      </c>
      <c r="G26" s="5">
        <v>1771</v>
      </c>
      <c r="H26" s="3">
        <v>204</v>
      </c>
      <c r="I26">
        <f>_xlfn.XLOOKUP(Data[[#This Row],[Product]],products[Product],products[Cost per unit])</f>
        <v>7.64</v>
      </c>
      <c r="J26">
        <f>Data[[#This Row],[Cost per unit]]*Data[[#This Row],[Units]]</f>
        <v>1558.56</v>
      </c>
    </row>
    <row r="27" spans="4:19" x14ac:dyDescent="0.25">
      <c r="D27" t="s">
        <v>13</v>
      </c>
      <c r="E27" t="s">
        <v>9</v>
      </c>
      <c r="F27" t="s">
        <v>37</v>
      </c>
      <c r="G27" s="5">
        <v>2114</v>
      </c>
      <c r="H27" s="3">
        <v>186</v>
      </c>
      <c r="I27">
        <f>_xlfn.XLOOKUP(Data[[#This Row],[Product]],products[Product],products[Cost per unit])</f>
        <v>11.73</v>
      </c>
      <c r="J27">
        <f>Data[[#This Row],[Cost per unit]]*Data[[#This Row],[Units]]</f>
        <v>2181.7800000000002</v>
      </c>
    </row>
    <row r="28" spans="4:19" x14ac:dyDescent="0.25">
      <c r="D28" t="s">
        <v>13</v>
      </c>
      <c r="E28" t="s">
        <v>14</v>
      </c>
      <c r="F28" t="s">
        <v>31</v>
      </c>
      <c r="G28" s="5">
        <v>10311</v>
      </c>
      <c r="H28" s="3">
        <v>231</v>
      </c>
      <c r="I28">
        <f>_xlfn.XLOOKUP(Data[[#This Row],[Product]],products[Product],products[Cost per unit])</f>
        <v>9.33</v>
      </c>
      <c r="J28">
        <f>Data[[#This Row],[Cost per unit]]*Data[[#This Row],[Units]]</f>
        <v>2155.23</v>
      </c>
    </row>
    <row r="29" spans="4:19" x14ac:dyDescent="0.25">
      <c r="D29" t="s">
        <v>27</v>
      </c>
      <c r="E29" t="s">
        <v>17</v>
      </c>
      <c r="F29" t="s">
        <v>29</v>
      </c>
      <c r="G29" s="5">
        <v>21</v>
      </c>
      <c r="H29" s="3">
        <v>168</v>
      </c>
      <c r="I29">
        <f>_xlfn.XLOOKUP(Data[[#This Row],[Product]],products[Product],products[Cost per unit])</f>
        <v>8.7899999999999991</v>
      </c>
      <c r="J29">
        <f>Data[[#This Row],[Cost per unit]]*Data[[#This Row],[Units]]</f>
        <v>1476.7199999999998</v>
      </c>
    </row>
    <row r="30" spans="4:19" x14ac:dyDescent="0.25">
      <c r="D30" t="s">
        <v>35</v>
      </c>
      <c r="E30" t="s">
        <v>9</v>
      </c>
      <c r="F30" t="s">
        <v>33</v>
      </c>
      <c r="G30" s="5">
        <v>1974</v>
      </c>
      <c r="H30" s="3">
        <v>195</v>
      </c>
      <c r="I30">
        <f>_xlfn.XLOOKUP(Data[[#This Row],[Product]],products[Product],products[Cost per unit])</f>
        <v>10.62</v>
      </c>
      <c r="J30">
        <f>Data[[#This Row],[Cost per unit]]*Data[[#This Row],[Units]]</f>
        <v>2070.8999999999996</v>
      </c>
    </row>
    <row r="31" spans="4:19" x14ac:dyDescent="0.25">
      <c r="D31" t="s">
        <v>25</v>
      </c>
      <c r="E31" t="s">
        <v>14</v>
      </c>
      <c r="F31" t="s">
        <v>34</v>
      </c>
      <c r="G31" s="5">
        <v>6314</v>
      </c>
      <c r="H31" s="3">
        <v>15</v>
      </c>
      <c r="I31">
        <f>_xlfn.XLOOKUP(Data[[#This Row],[Product]],products[Product],products[Cost per unit])</f>
        <v>6.49</v>
      </c>
      <c r="J31">
        <f>Data[[#This Row],[Cost per unit]]*Data[[#This Row],[Units]]</f>
        <v>97.350000000000009</v>
      </c>
    </row>
    <row r="32" spans="4:19" x14ac:dyDescent="0.25">
      <c r="D32" t="s">
        <v>35</v>
      </c>
      <c r="E32" t="s">
        <v>6</v>
      </c>
      <c r="F32" t="s">
        <v>34</v>
      </c>
      <c r="G32" s="5">
        <v>4683</v>
      </c>
      <c r="H32" s="3">
        <v>30</v>
      </c>
      <c r="I32">
        <f>_xlfn.XLOOKUP(Data[[#This Row],[Product]],products[Product],products[Cost per unit])</f>
        <v>6.49</v>
      </c>
      <c r="J32">
        <f>Data[[#This Row],[Cost per unit]]*Data[[#This Row],[Units]]</f>
        <v>194.70000000000002</v>
      </c>
    </row>
    <row r="33" spans="4:10" x14ac:dyDescent="0.25">
      <c r="D33" t="s">
        <v>13</v>
      </c>
      <c r="E33" t="s">
        <v>6</v>
      </c>
      <c r="F33" t="s">
        <v>38</v>
      </c>
      <c r="G33" s="5">
        <v>6398</v>
      </c>
      <c r="H33" s="3">
        <v>102</v>
      </c>
      <c r="I33">
        <f>_xlfn.XLOOKUP(Data[[#This Row],[Product]],products[Product],products[Cost per unit])</f>
        <v>4.97</v>
      </c>
      <c r="J33">
        <f>Data[[#This Row],[Cost per unit]]*Data[[#This Row],[Units]]</f>
        <v>506.94</v>
      </c>
    </row>
    <row r="34" spans="4:10" x14ac:dyDescent="0.25">
      <c r="D34" t="s">
        <v>26</v>
      </c>
      <c r="E34" t="s">
        <v>9</v>
      </c>
      <c r="F34" t="s">
        <v>36</v>
      </c>
      <c r="G34" s="5">
        <v>553</v>
      </c>
      <c r="H34" s="3">
        <v>15</v>
      </c>
      <c r="I34">
        <f>_xlfn.XLOOKUP(Data[[#This Row],[Product]],products[Product],products[Cost per unit])</f>
        <v>7.64</v>
      </c>
      <c r="J34">
        <f>Data[[#This Row],[Cost per unit]]*Data[[#This Row],[Units]]</f>
        <v>114.6</v>
      </c>
    </row>
    <row r="35" spans="4:10" x14ac:dyDescent="0.25">
      <c r="D35" t="s">
        <v>8</v>
      </c>
      <c r="E35" t="s">
        <v>17</v>
      </c>
      <c r="F35" t="s">
        <v>7</v>
      </c>
      <c r="G35" s="5">
        <v>7021</v>
      </c>
      <c r="H35" s="3">
        <v>183</v>
      </c>
      <c r="I35">
        <f>_xlfn.XLOOKUP(Data[[#This Row],[Product]],products[Product],products[Cost per unit])</f>
        <v>14.49</v>
      </c>
      <c r="J35">
        <f>Data[[#This Row],[Cost per unit]]*Data[[#This Row],[Units]]</f>
        <v>2651.67</v>
      </c>
    </row>
    <row r="36" spans="4:10" x14ac:dyDescent="0.25">
      <c r="D36" t="s">
        <v>5</v>
      </c>
      <c r="E36" t="s">
        <v>17</v>
      </c>
      <c r="F36" t="s">
        <v>22</v>
      </c>
      <c r="G36" s="5">
        <v>5817</v>
      </c>
      <c r="H36" s="3">
        <v>12</v>
      </c>
      <c r="I36">
        <f>_xlfn.XLOOKUP(Data[[#This Row],[Product]],products[Product],products[Cost per unit])</f>
        <v>9.77</v>
      </c>
      <c r="J36">
        <f>Data[[#This Row],[Cost per unit]]*Data[[#This Row],[Units]]</f>
        <v>117.24</v>
      </c>
    </row>
    <row r="37" spans="4:10" x14ac:dyDescent="0.25">
      <c r="D37" t="s">
        <v>13</v>
      </c>
      <c r="E37" t="s">
        <v>17</v>
      </c>
      <c r="F37" t="s">
        <v>24</v>
      </c>
      <c r="G37" s="5">
        <v>3976</v>
      </c>
      <c r="H37" s="3">
        <v>72</v>
      </c>
      <c r="I37">
        <f>_xlfn.XLOOKUP(Data[[#This Row],[Product]],products[Product],products[Cost per unit])</f>
        <v>11.7</v>
      </c>
      <c r="J37">
        <f>Data[[#This Row],[Cost per unit]]*Data[[#This Row],[Units]]</f>
        <v>842.4</v>
      </c>
    </row>
    <row r="38" spans="4:10" x14ac:dyDescent="0.25">
      <c r="D38" t="s">
        <v>16</v>
      </c>
      <c r="E38" t="s">
        <v>20</v>
      </c>
      <c r="F38" t="s">
        <v>39</v>
      </c>
      <c r="G38" s="5">
        <v>1134</v>
      </c>
      <c r="H38" s="3">
        <v>282</v>
      </c>
      <c r="I38">
        <f>_xlfn.XLOOKUP(Data[[#This Row],[Product]],products[Product],products[Cost per unit])</f>
        <v>16.73</v>
      </c>
      <c r="J38">
        <f>Data[[#This Row],[Cost per unit]]*Data[[#This Row],[Units]]</f>
        <v>4717.8599999999997</v>
      </c>
    </row>
    <row r="39" spans="4:10" x14ac:dyDescent="0.25">
      <c r="D39" t="s">
        <v>26</v>
      </c>
      <c r="E39" t="s">
        <v>17</v>
      </c>
      <c r="F39" t="s">
        <v>40</v>
      </c>
      <c r="G39" s="5">
        <v>6027</v>
      </c>
      <c r="H39" s="3">
        <v>144</v>
      </c>
      <c r="I39">
        <f>_xlfn.XLOOKUP(Data[[#This Row],[Product]],products[Product],products[Cost per unit])</f>
        <v>10.38</v>
      </c>
      <c r="J39">
        <f>Data[[#This Row],[Cost per unit]]*Data[[#This Row],[Units]]</f>
        <v>1494.72</v>
      </c>
    </row>
    <row r="40" spans="4:10" x14ac:dyDescent="0.25">
      <c r="D40" t="s">
        <v>16</v>
      </c>
      <c r="E40" t="s">
        <v>6</v>
      </c>
      <c r="F40" t="s">
        <v>29</v>
      </c>
      <c r="G40" s="5">
        <v>1904</v>
      </c>
      <c r="H40" s="3">
        <v>405</v>
      </c>
      <c r="I40">
        <f>_xlfn.XLOOKUP(Data[[#This Row],[Product]],products[Product],products[Cost per unit])</f>
        <v>8.7899999999999991</v>
      </c>
      <c r="J40">
        <f>Data[[#This Row],[Cost per unit]]*Data[[#This Row],[Units]]</f>
        <v>3559.95</v>
      </c>
    </row>
    <row r="41" spans="4:10" x14ac:dyDescent="0.25">
      <c r="D41" t="s">
        <v>23</v>
      </c>
      <c r="E41" t="s">
        <v>30</v>
      </c>
      <c r="F41" t="s">
        <v>10</v>
      </c>
      <c r="G41" s="5">
        <v>3262</v>
      </c>
      <c r="H41" s="3">
        <v>75</v>
      </c>
      <c r="I41">
        <f>_xlfn.XLOOKUP(Data[[#This Row],[Product]],products[Product],products[Cost per unit])</f>
        <v>8.65</v>
      </c>
      <c r="J41">
        <f>Data[[#This Row],[Cost per unit]]*Data[[#This Row],[Units]]</f>
        <v>648.75</v>
      </c>
    </row>
    <row r="42" spans="4:10" x14ac:dyDescent="0.25">
      <c r="D42" t="s">
        <v>5</v>
      </c>
      <c r="E42" t="s">
        <v>30</v>
      </c>
      <c r="F42" t="s">
        <v>39</v>
      </c>
      <c r="G42" s="5">
        <v>2289</v>
      </c>
      <c r="H42" s="3">
        <v>135</v>
      </c>
      <c r="I42">
        <f>_xlfn.XLOOKUP(Data[[#This Row],[Product]],products[Product],products[Cost per unit])</f>
        <v>16.73</v>
      </c>
      <c r="J42">
        <f>Data[[#This Row],[Cost per unit]]*Data[[#This Row],[Units]]</f>
        <v>2258.5500000000002</v>
      </c>
    </row>
    <row r="43" spans="4:10" x14ac:dyDescent="0.25">
      <c r="D43" t="s">
        <v>25</v>
      </c>
      <c r="E43" t="s">
        <v>30</v>
      </c>
      <c r="F43" t="s">
        <v>39</v>
      </c>
      <c r="G43" s="5">
        <v>6986</v>
      </c>
      <c r="H43" s="3">
        <v>21</v>
      </c>
      <c r="I43">
        <f>_xlfn.XLOOKUP(Data[[#This Row],[Product]],products[Product],products[Cost per unit])</f>
        <v>16.73</v>
      </c>
      <c r="J43">
        <f>Data[[#This Row],[Cost per unit]]*Data[[#This Row],[Units]]</f>
        <v>351.33</v>
      </c>
    </row>
    <row r="44" spans="4:10" x14ac:dyDescent="0.25">
      <c r="D44" t="s">
        <v>26</v>
      </c>
      <c r="E44" t="s">
        <v>20</v>
      </c>
      <c r="F44" t="s">
        <v>34</v>
      </c>
      <c r="G44" s="5">
        <v>4417</v>
      </c>
      <c r="H44" s="3">
        <v>153</v>
      </c>
      <c r="I44">
        <f>_xlfn.XLOOKUP(Data[[#This Row],[Product]],products[Product],products[Cost per unit])</f>
        <v>6.49</v>
      </c>
      <c r="J44">
        <f>Data[[#This Row],[Cost per unit]]*Data[[#This Row],[Units]]</f>
        <v>992.97</v>
      </c>
    </row>
    <row r="45" spans="4:10" x14ac:dyDescent="0.25">
      <c r="D45" t="s">
        <v>16</v>
      </c>
      <c r="E45" t="s">
        <v>30</v>
      </c>
      <c r="F45" t="s">
        <v>37</v>
      </c>
      <c r="G45" s="5">
        <v>1442</v>
      </c>
      <c r="H45" s="3">
        <v>15</v>
      </c>
      <c r="I45">
        <f>_xlfn.XLOOKUP(Data[[#This Row],[Product]],products[Product],products[Cost per unit])</f>
        <v>11.73</v>
      </c>
      <c r="J45">
        <f>Data[[#This Row],[Cost per unit]]*Data[[#This Row],[Units]]</f>
        <v>175.95000000000002</v>
      </c>
    </row>
    <row r="46" spans="4:10" x14ac:dyDescent="0.25">
      <c r="D46" t="s">
        <v>27</v>
      </c>
      <c r="E46" t="s">
        <v>9</v>
      </c>
      <c r="F46" t="s">
        <v>24</v>
      </c>
      <c r="G46" s="5">
        <v>2415</v>
      </c>
      <c r="H46" s="3">
        <v>255</v>
      </c>
      <c r="I46">
        <f>_xlfn.XLOOKUP(Data[[#This Row],[Product]],products[Product],products[Cost per unit])</f>
        <v>11.7</v>
      </c>
      <c r="J46">
        <f>Data[[#This Row],[Cost per unit]]*Data[[#This Row],[Units]]</f>
        <v>2983.5</v>
      </c>
    </row>
    <row r="47" spans="4:10" x14ac:dyDescent="0.25">
      <c r="D47" t="s">
        <v>26</v>
      </c>
      <c r="E47" t="s">
        <v>6</v>
      </c>
      <c r="F47" t="s">
        <v>36</v>
      </c>
      <c r="G47" s="5">
        <v>238</v>
      </c>
      <c r="H47" s="3">
        <v>18</v>
      </c>
      <c r="I47">
        <f>_xlfn.XLOOKUP(Data[[#This Row],[Product]],products[Product],products[Cost per unit])</f>
        <v>7.64</v>
      </c>
      <c r="J47">
        <f>Data[[#This Row],[Cost per unit]]*Data[[#This Row],[Units]]</f>
        <v>137.51999999999998</v>
      </c>
    </row>
    <row r="48" spans="4:10" x14ac:dyDescent="0.25">
      <c r="D48" t="s">
        <v>16</v>
      </c>
      <c r="E48" t="s">
        <v>6</v>
      </c>
      <c r="F48" t="s">
        <v>34</v>
      </c>
      <c r="G48" s="5">
        <v>4949</v>
      </c>
      <c r="H48" s="3">
        <v>189</v>
      </c>
      <c r="I48">
        <f>_xlfn.XLOOKUP(Data[[#This Row],[Product]],products[Product],products[Cost per unit])</f>
        <v>6.49</v>
      </c>
      <c r="J48">
        <f>Data[[#This Row],[Cost per unit]]*Data[[#This Row],[Units]]</f>
        <v>1226.6100000000001</v>
      </c>
    </row>
    <row r="49" spans="4:10" x14ac:dyDescent="0.25">
      <c r="D49" t="s">
        <v>25</v>
      </c>
      <c r="E49" t="s">
        <v>20</v>
      </c>
      <c r="F49" t="s">
        <v>10</v>
      </c>
      <c r="G49" s="5">
        <v>5075</v>
      </c>
      <c r="H49" s="3">
        <v>21</v>
      </c>
      <c r="I49">
        <f>_xlfn.XLOOKUP(Data[[#This Row],[Product]],products[Product],products[Cost per unit])</f>
        <v>8.65</v>
      </c>
      <c r="J49">
        <f>Data[[#This Row],[Cost per unit]]*Data[[#This Row],[Units]]</f>
        <v>181.65</v>
      </c>
    </row>
    <row r="50" spans="4:10" x14ac:dyDescent="0.25">
      <c r="D50" t="s">
        <v>27</v>
      </c>
      <c r="E50" t="s">
        <v>14</v>
      </c>
      <c r="F50" t="s">
        <v>29</v>
      </c>
      <c r="G50" s="5">
        <v>9198</v>
      </c>
      <c r="H50" s="3">
        <v>36</v>
      </c>
      <c r="I50">
        <f>_xlfn.XLOOKUP(Data[[#This Row],[Product]],products[Product],products[Cost per unit])</f>
        <v>8.7899999999999991</v>
      </c>
      <c r="J50">
        <f>Data[[#This Row],[Cost per unit]]*Data[[#This Row],[Units]]</f>
        <v>316.43999999999994</v>
      </c>
    </row>
    <row r="51" spans="4:10" x14ac:dyDescent="0.25">
      <c r="D51" t="s">
        <v>16</v>
      </c>
      <c r="E51" t="s">
        <v>30</v>
      </c>
      <c r="F51" t="s">
        <v>32</v>
      </c>
      <c r="G51" s="5">
        <v>3339</v>
      </c>
      <c r="H51" s="3">
        <v>75</v>
      </c>
      <c r="I51">
        <f>_xlfn.XLOOKUP(Data[[#This Row],[Product]],products[Product],products[Cost per unit])</f>
        <v>7.16</v>
      </c>
      <c r="J51">
        <f>Data[[#This Row],[Cost per unit]]*Data[[#This Row],[Units]]</f>
        <v>537</v>
      </c>
    </row>
    <row r="52" spans="4:10" x14ac:dyDescent="0.25">
      <c r="D52" t="s">
        <v>5</v>
      </c>
      <c r="E52" t="s">
        <v>30</v>
      </c>
      <c r="F52" t="s">
        <v>28</v>
      </c>
      <c r="G52" s="5">
        <v>5019</v>
      </c>
      <c r="H52" s="3">
        <v>156</v>
      </c>
      <c r="I52">
        <f>_xlfn.XLOOKUP(Data[[#This Row],[Product]],products[Product],products[Cost per unit])</f>
        <v>3.11</v>
      </c>
      <c r="J52">
        <f>Data[[#This Row],[Cost per unit]]*Data[[#This Row],[Units]]</f>
        <v>485.15999999999997</v>
      </c>
    </row>
    <row r="53" spans="4:10" x14ac:dyDescent="0.25">
      <c r="D53" t="s">
        <v>25</v>
      </c>
      <c r="E53" t="s">
        <v>14</v>
      </c>
      <c r="F53" t="s">
        <v>29</v>
      </c>
      <c r="G53" s="5">
        <v>16184</v>
      </c>
      <c r="H53" s="3">
        <v>39</v>
      </c>
      <c r="I53">
        <f>_xlfn.XLOOKUP(Data[[#This Row],[Product]],products[Product],products[Cost per unit])</f>
        <v>8.7899999999999991</v>
      </c>
      <c r="J53">
        <f>Data[[#This Row],[Cost per unit]]*Data[[#This Row],[Units]]</f>
        <v>342.80999999999995</v>
      </c>
    </row>
    <row r="54" spans="4:10" x14ac:dyDescent="0.25">
      <c r="D54" t="s">
        <v>16</v>
      </c>
      <c r="E54" t="s">
        <v>14</v>
      </c>
      <c r="F54" t="s">
        <v>41</v>
      </c>
      <c r="G54" s="5">
        <v>497</v>
      </c>
      <c r="H54" s="3">
        <v>63</v>
      </c>
      <c r="I54">
        <f>_xlfn.XLOOKUP(Data[[#This Row],[Product]],products[Product],products[Cost per unit])</f>
        <v>9</v>
      </c>
      <c r="J54">
        <f>Data[[#This Row],[Cost per unit]]*Data[[#This Row],[Units]]</f>
        <v>567</v>
      </c>
    </row>
    <row r="55" spans="4:10" x14ac:dyDescent="0.25">
      <c r="D55" t="s">
        <v>26</v>
      </c>
      <c r="E55" t="s">
        <v>14</v>
      </c>
      <c r="F55" t="s">
        <v>32</v>
      </c>
      <c r="G55" s="5">
        <v>8211</v>
      </c>
      <c r="H55" s="3">
        <v>75</v>
      </c>
      <c r="I55">
        <f>_xlfn.XLOOKUP(Data[[#This Row],[Product]],products[Product],products[Cost per unit])</f>
        <v>7.16</v>
      </c>
      <c r="J55">
        <f>Data[[#This Row],[Cost per unit]]*Data[[#This Row],[Units]]</f>
        <v>537</v>
      </c>
    </row>
    <row r="56" spans="4:10" x14ac:dyDescent="0.25">
      <c r="D56" t="s">
        <v>26</v>
      </c>
      <c r="E56" t="s">
        <v>20</v>
      </c>
      <c r="F56" t="s">
        <v>40</v>
      </c>
      <c r="G56" s="5">
        <v>6580</v>
      </c>
      <c r="H56" s="3">
        <v>183</v>
      </c>
      <c r="I56">
        <f>_xlfn.XLOOKUP(Data[[#This Row],[Product]],products[Product],products[Cost per unit])</f>
        <v>10.38</v>
      </c>
      <c r="J56">
        <f>Data[[#This Row],[Cost per unit]]*Data[[#This Row],[Units]]</f>
        <v>1899.5400000000002</v>
      </c>
    </row>
    <row r="57" spans="4:10" x14ac:dyDescent="0.25">
      <c r="D57" t="s">
        <v>13</v>
      </c>
      <c r="E57" t="s">
        <v>9</v>
      </c>
      <c r="F57" t="s">
        <v>31</v>
      </c>
      <c r="G57" s="5">
        <v>4760</v>
      </c>
      <c r="H57" s="3">
        <v>69</v>
      </c>
      <c r="I57">
        <f>_xlfn.XLOOKUP(Data[[#This Row],[Product]],products[Product],products[Cost per unit])</f>
        <v>9.33</v>
      </c>
      <c r="J57">
        <f>Data[[#This Row],[Cost per unit]]*Data[[#This Row],[Units]]</f>
        <v>643.77</v>
      </c>
    </row>
    <row r="58" spans="4:10" x14ac:dyDescent="0.25">
      <c r="D58" t="s">
        <v>5</v>
      </c>
      <c r="E58" t="s">
        <v>14</v>
      </c>
      <c r="F58" t="s">
        <v>18</v>
      </c>
      <c r="G58" s="5">
        <v>5439</v>
      </c>
      <c r="H58" s="3">
        <v>30</v>
      </c>
      <c r="I58">
        <f>_xlfn.XLOOKUP(Data[[#This Row],[Product]],products[Product],products[Cost per unit])</f>
        <v>13.15</v>
      </c>
      <c r="J58">
        <f>Data[[#This Row],[Cost per unit]]*Data[[#This Row],[Units]]</f>
        <v>394.5</v>
      </c>
    </row>
    <row r="59" spans="4:10" x14ac:dyDescent="0.25">
      <c r="D59" t="s">
        <v>13</v>
      </c>
      <c r="E59" t="s">
        <v>30</v>
      </c>
      <c r="F59" t="s">
        <v>28</v>
      </c>
      <c r="G59" s="5">
        <v>1463</v>
      </c>
      <c r="H59" s="3">
        <v>39</v>
      </c>
      <c r="I59">
        <f>_xlfn.XLOOKUP(Data[[#This Row],[Product]],products[Product],products[Cost per unit])</f>
        <v>3.11</v>
      </c>
      <c r="J59">
        <f>Data[[#This Row],[Cost per unit]]*Data[[#This Row],[Units]]</f>
        <v>121.28999999999999</v>
      </c>
    </row>
    <row r="60" spans="4:10" x14ac:dyDescent="0.25">
      <c r="D60" t="s">
        <v>27</v>
      </c>
      <c r="E60" t="s">
        <v>30</v>
      </c>
      <c r="F60" t="s">
        <v>10</v>
      </c>
      <c r="G60" s="5">
        <v>7777</v>
      </c>
      <c r="H60" s="3">
        <v>504</v>
      </c>
      <c r="I60">
        <f>_xlfn.XLOOKUP(Data[[#This Row],[Product]],products[Product],products[Cost per unit])</f>
        <v>8.65</v>
      </c>
      <c r="J60">
        <f>Data[[#This Row],[Cost per unit]]*Data[[#This Row],[Units]]</f>
        <v>4359.6000000000004</v>
      </c>
    </row>
    <row r="61" spans="4:10" x14ac:dyDescent="0.25">
      <c r="D61" t="s">
        <v>11</v>
      </c>
      <c r="E61" t="s">
        <v>6</v>
      </c>
      <c r="F61" t="s">
        <v>32</v>
      </c>
      <c r="G61" s="5">
        <v>1085</v>
      </c>
      <c r="H61" s="3">
        <v>273</v>
      </c>
      <c r="I61">
        <f>_xlfn.XLOOKUP(Data[[#This Row],[Product]],products[Product],products[Cost per unit])</f>
        <v>7.16</v>
      </c>
      <c r="J61">
        <f>Data[[#This Row],[Cost per unit]]*Data[[#This Row],[Units]]</f>
        <v>1954.68</v>
      </c>
    </row>
    <row r="62" spans="4:10" x14ac:dyDescent="0.25">
      <c r="D62" t="s">
        <v>25</v>
      </c>
      <c r="E62" t="s">
        <v>6</v>
      </c>
      <c r="F62" t="s">
        <v>21</v>
      </c>
      <c r="G62" s="5">
        <v>182</v>
      </c>
      <c r="H62" s="3">
        <v>48</v>
      </c>
      <c r="I62">
        <f>_xlfn.XLOOKUP(Data[[#This Row],[Product]],products[Product],products[Cost per unit])</f>
        <v>5.79</v>
      </c>
      <c r="J62">
        <f>Data[[#This Row],[Cost per unit]]*Data[[#This Row],[Units]]</f>
        <v>277.92</v>
      </c>
    </row>
    <row r="63" spans="4:10" x14ac:dyDescent="0.25">
      <c r="D63" t="s">
        <v>16</v>
      </c>
      <c r="E63" t="s">
        <v>30</v>
      </c>
      <c r="F63" t="s">
        <v>39</v>
      </c>
      <c r="G63" s="5">
        <v>4242</v>
      </c>
      <c r="H63" s="3">
        <v>207</v>
      </c>
      <c r="I63">
        <f>_xlfn.XLOOKUP(Data[[#This Row],[Product]],products[Product],products[Cost per unit])</f>
        <v>16.73</v>
      </c>
      <c r="J63">
        <f>Data[[#This Row],[Cost per unit]]*Data[[#This Row],[Units]]</f>
        <v>3463.11</v>
      </c>
    </row>
    <row r="64" spans="4:10" x14ac:dyDescent="0.25">
      <c r="D64" t="s">
        <v>16</v>
      </c>
      <c r="E64" t="s">
        <v>14</v>
      </c>
      <c r="F64" t="s">
        <v>10</v>
      </c>
      <c r="G64" s="5">
        <v>6118</v>
      </c>
      <c r="H64" s="3">
        <v>9</v>
      </c>
      <c r="I64">
        <f>_xlfn.XLOOKUP(Data[[#This Row],[Product]],products[Product],products[Cost per unit])</f>
        <v>8.65</v>
      </c>
      <c r="J64">
        <f>Data[[#This Row],[Cost per unit]]*Data[[#This Row],[Units]]</f>
        <v>77.850000000000009</v>
      </c>
    </row>
    <row r="65" spans="4:10" x14ac:dyDescent="0.25">
      <c r="D65" t="s">
        <v>35</v>
      </c>
      <c r="E65" t="s">
        <v>14</v>
      </c>
      <c r="F65" t="s">
        <v>34</v>
      </c>
      <c r="G65" s="5">
        <v>2317</v>
      </c>
      <c r="H65" s="3">
        <v>261</v>
      </c>
      <c r="I65">
        <f>_xlfn.XLOOKUP(Data[[#This Row],[Product]],products[Product],products[Cost per unit])</f>
        <v>6.49</v>
      </c>
      <c r="J65">
        <f>Data[[#This Row],[Cost per unit]]*Data[[#This Row],[Units]]</f>
        <v>1693.89</v>
      </c>
    </row>
    <row r="66" spans="4:10" x14ac:dyDescent="0.25">
      <c r="D66" t="s">
        <v>16</v>
      </c>
      <c r="E66" t="s">
        <v>20</v>
      </c>
      <c r="F66" t="s">
        <v>29</v>
      </c>
      <c r="G66" s="5">
        <v>938</v>
      </c>
      <c r="H66" s="3">
        <v>6</v>
      </c>
      <c r="I66">
        <f>_xlfn.XLOOKUP(Data[[#This Row],[Product]],products[Product],products[Cost per unit])</f>
        <v>8.7899999999999991</v>
      </c>
      <c r="J66">
        <f>Data[[#This Row],[Cost per unit]]*Data[[#This Row],[Units]]</f>
        <v>52.739999999999995</v>
      </c>
    </row>
    <row r="67" spans="4:10" x14ac:dyDescent="0.25">
      <c r="D67" t="s">
        <v>8</v>
      </c>
      <c r="E67" t="s">
        <v>6</v>
      </c>
      <c r="F67" t="s">
        <v>37</v>
      </c>
      <c r="G67" s="5">
        <v>9709</v>
      </c>
      <c r="H67" s="3">
        <v>30</v>
      </c>
      <c r="I67">
        <f>_xlfn.XLOOKUP(Data[[#This Row],[Product]],products[Product],products[Cost per unit])</f>
        <v>11.73</v>
      </c>
      <c r="J67">
        <f>Data[[#This Row],[Cost per unit]]*Data[[#This Row],[Units]]</f>
        <v>351.90000000000003</v>
      </c>
    </row>
    <row r="68" spans="4:10" x14ac:dyDescent="0.25">
      <c r="D68" t="s">
        <v>23</v>
      </c>
      <c r="E68" t="s">
        <v>30</v>
      </c>
      <c r="F68" t="s">
        <v>33</v>
      </c>
      <c r="G68" s="5">
        <v>2205</v>
      </c>
      <c r="H68" s="3">
        <v>138</v>
      </c>
      <c r="I68">
        <f>_xlfn.XLOOKUP(Data[[#This Row],[Product]],products[Product],products[Cost per unit])</f>
        <v>10.62</v>
      </c>
      <c r="J68">
        <f>Data[[#This Row],[Cost per unit]]*Data[[#This Row],[Units]]</f>
        <v>1465.56</v>
      </c>
    </row>
    <row r="69" spans="4:10" x14ac:dyDescent="0.25">
      <c r="D69" t="s">
        <v>23</v>
      </c>
      <c r="E69" t="s">
        <v>6</v>
      </c>
      <c r="F69" t="s">
        <v>28</v>
      </c>
      <c r="G69" s="5">
        <v>4487</v>
      </c>
      <c r="H69" s="3">
        <v>111</v>
      </c>
      <c r="I69">
        <f>_xlfn.XLOOKUP(Data[[#This Row],[Product]],products[Product],products[Cost per unit])</f>
        <v>3.11</v>
      </c>
      <c r="J69">
        <f>Data[[#This Row],[Cost per unit]]*Data[[#This Row],[Units]]</f>
        <v>345.21</v>
      </c>
    </row>
    <row r="70" spans="4:10" x14ac:dyDescent="0.25">
      <c r="D70" t="s">
        <v>25</v>
      </c>
      <c r="E70" t="s">
        <v>9</v>
      </c>
      <c r="F70" t="s">
        <v>15</v>
      </c>
      <c r="G70" s="5">
        <v>2415</v>
      </c>
      <c r="H70" s="3">
        <v>15</v>
      </c>
      <c r="I70">
        <f>_xlfn.XLOOKUP(Data[[#This Row],[Product]],products[Product],products[Cost per unit])</f>
        <v>6.47</v>
      </c>
      <c r="J70">
        <f>Data[[#This Row],[Cost per unit]]*Data[[#This Row],[Units]]</f>
        <v>97.05</v>
      </c>
    </row>
    <row r="71" spans="4:10" x14ac:dyDescent="0.25">
      <c r="D71" t="s">
        <v>5</v>
      </c>
      <c r="E71" t="s">
        <v>30</v>
      </c>
      <c r="F71" t="s">
        <v>36</v>
      </c>
      <c r="G71" s="5">
        <v>4018</v>
      </c>
      <c r="H71" s="3">
        <v>162</v>
      </c>
      <c r="I71">
        <f>_xlfn.XLOOKUP(Data[[#This Row],[Product]],products[Product],products[Cost per unit])</f>
        <v>7.64</v>
      </c>
      <c r="J71">
        <f>Data[[#This Row],[Cost per unit]]*Data[[#This Row],[Units]]</f>
        <v>1237.6799999999998</v>
      </c>
    </row>
    <row r="72" spans="4:10" x14ac:dyDescent="0.25">
      <c r="D72" t="s">
        <v>25</v>
      </c>
      <c r="E72" t="s">
        <v>30</v>
      </c>
      <c r="F72" t="s">
        <v>36</v>
      </c>
      <c r="G72" s="5">
        <v>861</v>
      </c>
      <c r="H72" s="3">
        <v>195</v>
      </c>
      <c r="I72">
        <f>_xlfn.XLOOKUP(Data[[#This Row],[Product]],products[Product],products[Cost per unit])</f>
        <v>7.64</v>
      </c>
      <c r="J72">
        <f>Data[[#This Row],[Cost per unit]]*Data[[#This Row],[Units]]</f>
        <v>1489.8</v>
      </c>
    </row>
    <row r="73" spans="4:10" x14ac:dyDescent="0.25">
      <c r="D73" t="s">
        <v>35</v>
      </c>
      <c r="E73" t="s">
        <v>20</v>
      </c>
      <c r="F73" t="s">
        <v>24</v>
      </c>
      <c r="G73" s="5">
        <v>5586</v>
      </c>
      <c r="H73" s="3">
        <v>525</v>
      </c>
      <c r="I73">
        <f>_xlfn.XLOOKUP(Data[[#This Row],[Product]],products[Product],products[Cost per unit])</f>
        <v>11.7</v>
      </c>
      <c r="J73">
        <f>Data[[#This Row],[Cost per unit]]*Data[[#This Row],[Units]]</f>
        <v>6142.5</v>
      </c>
    </row>
    <row r="74" spans="4:10" x14ac:dyDescent="0.25">
      <c r="D74" t="s">
        <v>23</v>
      </c>
      <c r="E74" t="s">
        <v>30</v>
      </c>
      <c r="F74" t="s">
        <v>19</v>
      </c>
      <c r="G74" s="5">
        <v>2226</v>
      </c>
      <c r="H74" s="3">
        <v>48</v>
      </c>
      <c r="I74">
        <f>_xlfn.XLOOKUP(Data[[#This Row],[Product]],products[Product],products[Cost per unit])</f>
        <v>12.37</v>
      </c>
      <c r="J74">
        <f>Data[[#This Row],[Cost per unit]]*Data[[#This Row],[Units]]</f>
        <v>593.76</v>
      </c>
    </row>
    <row r="75" spans="4:10" x14ac:dyDescent="0.25">
      <c r="D75" t="s">
        <v>11</v>
      </c>
      <c r="E75" t="s">
        <v>30</v>
      </c>
      <c r="F75" t="s">
        <v>40</v>
      </c>
      <c r="G75" s="5">
        <v>14329</v>
      </c>
      <c r="H75" s="3">
        <v>150</v>
      </c>
      <c r="I75">
        <f>_xlfn.XLOOKUP(Data[[#This Row],[Product]],products[Product],products[Cost per unit])</f>
        <v>10.38</v>
      </c>
      <c r="J75">
        <f>Data[[#This Row],[Cost per unit]]*Data[[#This Row],[Units]]</f>
        <v>1557.0000000000002</v>
      </c>
    </row>
    <row r="76" spans="4:10" x14ac:dyDescent="0.25">
      <c r="D76" t="s">
        <v>11</v>
      </c>
      <c r="E76" t="s">
        <v>30</v>
      </c>
      <c r="F76" t="s">
        <v>33</v>
      </c>
      <c r="G76" s="5">
        <v>8463</v>
      </c>
      <c r="H76" s="3">
        <v>492</v>
      </c>
      <c r="I76">
        <f>_xlfn.XLOOKUP(Data[[#This Row],[Product]],products[Product],products[Cost per unit])</f>
        <v>10.62</v>
      </c>
      <c r="J76">
        <f>Data[[#This Row],[Cost per unit]]*Data[[#This Row],[Units]]</f>
        <v>5225.04</v>
      </c>
    </row>
    <row r="77" spans="4:10" x14ac:dyDescent="0.25">
      <c r="D77" t="s">
        <v>25</v>
      </c>
      <c r="E77" t="s">
        <v>30</v>
      </c>
      <c r="F77" t="s">
        <v>32</v>
      </c>
      <c r="G77" s="5">
        <v>2891</v>
      </c>
      <c r="H77" s="3">
        <v>102</v>
      </c>
      <c r="I77">
        <f>_xlfn.XLOOKUP(Data[[#This Row],[Product]],products[Product],products[Cost per unit])</f>
        <v>7.16</v>
      </c>
      <c r="J77">
        <f>Data[[#This Row],[Cost per unit]]*Data[[#This Row],[Units]]</f>
        <v>730.32</v>
      </c>
    </row>
    <row r="78" spans="4:10" x14ac:dyDescent="0.25">
      <c r="D78" t="s">
        <v>27</v>
      </c>
      <c r="E78" t="s">
        <v>14</v>
      </c>
      <c r="F78" t="s">
        <v>34</v>
      </c>
      <c r="G78" s="5">
        <v>3773</v>
      </c>
      <c r="H78" s="3">
        <v>165</v>
      </c>
      <c r="I78">
        <f>_xlfn.XLOOKUP(Data[[#This Row],[Product]],products[Product],products[Cost per unit])</f>
        <v>6.49</v>
      </c>
      <c r="J78">
        <f>Data[[#This Row],[Cost per unit]]*Data[[#This Row],[Units]]</f>
        <v>1070.8500000000001</v>
      </c>
    </row>
    <row r="79" spans="4:10" x14ac:dyDescent="0.25">
      <c r="D79" t="s">
        <v>13</v>
      </c>
      <c r="E79" t="s">
        <v>14</v>
      </c>
      <c r="F79" t="s">
        <v>40</v>
      </c>
      <c r="G79" s="5">
        <v>854</v>
      </c>
      <c r="H79" s="3">
        <v>309</v>
      </c>
      <c r="I79">
        <f>_xlfn.XLOOKUP(Data[[#This Row],[Product]],products[Product],products[Cost per unit])</f>
        <v>10.38</v>
      </c>
      <c r="J79">
        <f>Data[[#This Row],[Cost per unit]]*Data[[#This Row],[Units]]</f>
        <v>3207.42</v>
      </c>
    </row>
    <row r="80" spans="4:10" x14ac:dyDescent="0.25">
      <c r="D80" t="s">
        <v>16</v>
      </c>
      <c r="E80" t="s">
        <v>14</v>
      </c>
      <c r="F80" t="s">
        <v>28</v>
      </c>
      <c r="G80" s="5">
        <v>4970</v>
      </c>
      <c r="H80" s="3">
        <v>156</v>
      </c>
      <c r="I80">
        <f>_xlfn.XLOOKUP(Data[[#This Row],[Product]],products[Product],products[Cost per unit])</f>
        <v>3.11</v>
      </c>
      <c r="J80">
        <f>Data[[#This Row],[Cost per unit]]*Data[[#This Row],[Units]]</f>
        <v>485.15999999999997</v>
      </c>
    </row>
    <row r="81" spans="4:10" x14ac:dyDescent="0.25">
      <c r="D81" t="s">
        <v>11</v>
      </c>
      <c r="E81" t="s">
        <v>9</v>
      </c>
      <c r="F81" t="s">
        <v>42</v>
      </c>
      <c r="G81" s="5">
        <v>98</v>
      </c>
      <c r="H81" s="3">
        <v>159</v>
      </c>
      <c r="I81">
        <f>_xlfn.XLOOKUP(Data[[#This Row],[Product]],products[Product],products[Cost per unit])</f>
        <v>5.6</v>
      </c>
      <c r="J81">
        <f>Data[[#This Row],[Cost per unit]]*Data[[#This Row],[Units]]</f>
        <v>890.4</v>
      </c>
    </row>
    <row r="82" spans="4:10" x14ac:dyDescent="0.25">
      <c r="D82" t="s">
        <v>25</v>
      </c>
      <c r="E82" t="s">
        <v>9</v>
      </c>
      <c r="F82" t="s">
        <v>37</v>
      </c>
      <c r="G82" s="5">
        <v>13391</v>
      </c>
      <c r="H82" s="3">
        <v>201</v>
      </c>
      <c r="I82">
        <f>_xlfn.XLOOKUP(Data[[#This Row],[Product]],products[Product],products[Cost per unit])</f>
        <v>11.73</v>
      </c>
      <c r="J82">
        <f>Data[[#This Row],[Cost per unit]]*Data[[#This Row],[Units]]</f>
        <v>2357.73</v>
      </c>
    </row>
    <row r="83" spans="4:10" x14ac:dyDescent="0.25">
      <c r="D83" t="s">
        <v>8</v>
      </c>
      <c r="E83" t="s">
        <v>17</v>
      </c>
      <c r="F83" t="s">
        <v>21</v>
      </c>
      <c r="G83" s="5">
        <v>8890</v>
      </c>
      <c r="H83" s="3">
        <v>210</v>
      </c>
      <c r="I83">
        <f>_xlfn.XLOOKUP(Data[[#This Row],[Product]],products[Product],products[Cost per unit])</f>
        <v>5.79</v>
      </c>
      <c r="J83">
        <f>Data[[#This Row],[Cost per unit]]*Data[[#This Row],[Units]]</f>
        <v>1215.9000000000001</v>
      </c>
    </row>
    <row r="84" spans="4:10" x14ac:dyDescent="0.25">
      <c r="D84" t="s">
        <v>26</v>
      </c>
      <c r="E84" t="s">
        <v>20</v>
      </c>
      <c r="F84" t="s">
        <v>31</v>
      </c>
      <c r="G84" s="5">
        <v>56</v>
      </c>
      <c r="H84" s="3">
        <v>51</v>
      </c>
      <c r="I84">
        <f>_xlfn.XLOOKUP(Data[[#This Row],[Product]],products[Product],products[Cost per unit])</f>
        <v>9.33</v>
      </c>
      <c r="J84">
        <f>Data[[#This Row],[Cost per unit]]*Data[[#This Row],[Units]]</f>
        <v>475.83</v>
      </c>
    </row>
    <row r="85" spans="4:10" x14ac:dyDescent="0.25">
      <c r="D85" t="s">
        <v>27</v>
      </c>
      <c r="E85" t="s">
        <v>14</v>
      </c>
      <c r="F85" t="s">
        <v>18</v>
      </c>
      <c r="G85" s="5">
        <v>3339</v>
      </c>
      <c r="H85" s="3">
        <v>39</v>
      </c>
      <c r="I85">
        <f>_xlfn.XLOOKUP(Data[[#This Row],[Product]],products[Product],products[Cost per unit])</f>
        <v>13.15</v>
      </c>
      <c r="J85">
        <f>Data[[#This Row],[Cost per unit]]*Data[[#This Row],[Units]]</f>
        <v>512.85</v>
      </c>
    </row>
    <row r="86" spans="4:10" x14ac:dyDescent="0.25">
      <c r="D86" t="s">
        <v>35</v>
      </c>
      <c r="E86" t="s">
        <v>9</v>
      </c>
      <c r="F86" t="s">
        <v>15</v>
      </c>
      <c r="G86" s="5">
        <v>3808</v>
      </c>
      <c r="H86" s="3">
        <v>279</v>
      </c>
      <c r="I86">
        <f>_xlfn.XLOOKUP(Data[[#This Row],[Product]],products[Product],products[Cost per unit])</f>
        <v>6.47</v>
      </c>
      <c r="J86">
        <f>Data[[#This Row],[Cost per unit]]*Data[[#This Row],[Units]]</f>
        <v>1805.1299999999999</v>
      </c>
    </row>
    <row r="87" spans="4:10" x14ac:dyDescent="0.25">
      <c r="D87" t="s">
        <v>35</v>
      </c>
      <c r="E87" t="s">
        <v>20</v>
      </c>
      <c r="F87" t="s">
        <v>31</v>
      </c>
      <c r="G87" s="5">
        <v>63</v>
      </c>
      <c r="H87" s="3">
        <v>123</v>
      </c>
      <c r="I87">
        <f>_xlfn.XLOOKUP(Data[[#This Row],[Product]],products[Product],products[Cost per unit])</f>
        <v>9.33</v>
      </c>
      <c r="J87">
        <f>Data[[#This Row],[Cost per unit]]*Data[[#This Row],[Units]]</f>
        <v>1147.5899999999999</v>
      </c>
    </row>
    <row r="88" spans="4:10" x14ac:dyDescent="0.25">
      <c r="D88" t="s">
        <v>26</v>
      </c>
      <c r="E88" t="s">
        <v>17</v>
      </c>
      <c r="F88" t="s">
        <v>39</v>
      </c>
      <c r="G88" s="5">
        <v>7812</v>
      </c>
      <c r="H88" s="3">
        <v>81</v>
      </c>
      <c r="I88">
        <f>_xlfn.XLOOKUP(Data[[#This Row],[Product]],products[Product],products[Cost per unit])</f>
        <v>16.73</v>
      </c>
      <c r="J88">
        <f>Data[[#This Row],[Cost per unit]]*Data[[#This Row],[Units]]</f>
        <v>1355.13</v>
      </c>
    </row>
    <row r="89" spans="4:10" x14ac:dyDescent="0.25">
      <c r="D89" t="s">
        <v>5</v>
      </c>
      <c r="E89" t="s">
        <v>6</v>
      </c>
      <c r="F89" t="s">
        <v>36</v>
      </c>
      <c r="G89" s="5">
        <v>7693</v>
      </c>
      <c r="H89" s="3">
        <v>21</v>
      </c>
      <c r="I89">
        <f>_xlfn.XLOOKUP(Data[[#This Row],[Product]],products[Product],products[Cost per unit])</f>
        <v>7.64</v>
      </c>
      <c r="J89">
        <f>Data[[#This Row],[Cost per unit]]*Data[[#This Row],[Units]]</f>
        <v>160.44</v>
      </c>
    </row>
    <row r="90" spans="4:10" x14ac:dyDescent="0.25">
      <c r="D90" t="s">
        <v>27</v>
      </c>
      <c r="E90" t="s">
        <v>14</v>
      </c>
      <c r="F90" t="s">
        <v>40</v>
      </c>
      <c r="G90" s="5">
        <v>973</v>
      </c>
      <c r="H90" s="3">
        <v>162</v>
      </c>
      <c r="I90">
        <f>_xlfn.XLOOKUP(Data[[#This Row],[Product]],products[Product],products[Cost per unit])</f>
        <v>10.38</v>
      </c>
      <c r="J90">
        <f>Data[[#This Row],[Cost per unit]]*Data[[#This Row],[Units]]</f>
        <v>1681.5600000000002</v>
      </c>
    </row>
    <row r="91" spans="4:10" x14ac:dyDescent="0.25">
      <c r="D91" t="s">
        <v>35</v>
      </c>
      <c r="E91" t="s">
        <v>9</v>
      </c>
      <c r="F91" t="s">
        <v>41</v>
      </c>
      <c r="G91" s="5">
        <v>567</v>
      </c>
      <c r="H91" s="3">
        <v>228</v>
      </c>
      <c r="I91">
        <f>_xlfn.XLOOKUP(Data[[#This Row],[Product]],products[Product],products[Cost per unit])</f>
        <v>9</v>
      </c>
      <c r="J91">
        <f>Data[[#This Row],[Cost per unit]]*Data[[#This Row],[Units]]</f>
        <v>2052</v>
      </c>
    </row>
    <row r="92" spans="4:10" x14ac:dyDescent="0.25">
      <c r="D92" t="s">
        <v>35</v>
      </c>
      <c r="E92" t="s">
        <v>14</v>
      </c>
      <c r="F92" t="s">
        <v>32</v>
      </c>
      <c r="G92" s="5">
        <v>2471</v>
      </c>
      <c r="H92" s="3">
        <v>342</v>
      </c>
      <c r="I92">
        <f>_xlfn.XLOOKUP(Data[[#This Row],[Product]],products[Product],products[Cost per unit])</f>
        <v>7.16</v>
      </c>
      <c r="J92">
        <f>Data[[#This Row],[Cost per unit]]*Data[[#This Row],[Units]]</f>
        <v>2448.7200000000003</v>
      </c>
    </row>
    <row r="93" spans="4:10" x14ac:dyDescent="0.25">
      <c r="D93" t="s">
        <v>25</v>
      </c>
      <c r="E93" t="s">
        <v>20</v>
      </c>
      <c r="F93" t="s">
        <v>31</v>
      </c>
      <c r="G93" s="5">
        <v>7189</v>
      </c>
      <c r="H93" s="3">
        <v>54</v>
      </c>
      <c r="I93">
        <f>_xlfn.XLOOKUP(Data[[#This Row],[Product]],products[Product],products[Cost per unit])</f>
        <v>9.33</v>
      </c>
      <c r="J93">
        <f>Data[[#This Row],[Cost per unit]]*Data[[#This Row],[Units]]</f>
        <v>503.82</v>
      </c>
    </row>
    <row r="94" spans="4:10" x14ac:dyDescent="0.25">
      <c r="D94" t="s">
        <v>13</v>
      </c>
      <c r="E94" t="s">
        <v>9</v>
      </c>
      <c r="F94" t="s">
        <v>40</v>
      </c>
      <c r="G94" s="5">
        <v>7455</v>
      </c>
      <c r="H94" s="3">
        <v>216</v>
      </c>
      <c r="I94">
        <f>_xlfn.XLOOKUP(Data[[#This Row],[Product]],products[Product],products[Cost per unit])</f>
        <v>10.38</v>
      </c>
      <c r="J94">
        <f>Data[[#This Row],[Cost per unit]]*Data[[#This Row],[Units]]</f>
        <v>2242.0800000000004</v>
      </c>
    </row>
    <row r="95" spans="4:10" x14ac:dyDescent="0.25">
      <c r="D95" t="s">
        <v>27</v>
      </c>
      <c r="E95" t="s">
        <v>30</v>
      </c>
      <c r="F95" t="s">
        <v>42</v>
      </c>
      <c r="G95" s="5">
        <v>3108</v>
      </c>
      <c r="H95" s="3">
        <v>54</v>
      </c>
      <c r="I95">
        <f>_xlfn.XLOOKUP(Data[[#This Row],[Product]],products[Product],products[Cost per unit])</f>
        <v>5.6</v>
      </c>
      <c r="J95">
        <f>Data[[#This Row],[Cost per unit]]*Data[[#This Row],[Units]]</f>
        <v>302.39999999999998</v>
      </c>
    </row>
    <row r="96" spans="4:10" x14ac:dyDescent="0.25">
      <c r="D96" t="s">
        <v>16</v>
      </c>
      <c r="E96" t="s">
        <v>20</v>
      </c>
      <c r="F96" t="s">
        <v>18</v>
      </c>
      <c r="G96" s="5">
        <v>469</v>
      </c>
      <c r="H96" s="3">
        <v>75</v>
      </c>
      <c r="I96">
        <f>_xlfn.XLOOKUP(Data[[#This Row],[Product]],products[Product],products[Cost per unit])</f>
        <v>13.15</v>
      </c>
      <c r="J96">
        <f>Data[[#This Row],[Cost per unit]]*Data[[#This Row],[Units]]</f>
        <v>986.25</v>
      </c>
    </row>
    <row r="97" spans="4:10" x14ac:dyDescent="0.25">
      <c r="D97" t="s">
        <v>11</v>
      </c>
      <c r="E97" t="s">
        <v>6</v>
      </c>
      <c r="F97" t="s">
        <v>34</v>
      </c>
      <c r="G97" s="5">
        <v>2737</v>
      </c>
      <c r="H97" s="3">
        <v>93</v>
      </c>
      <c r="I97">
        <f>_xlfn.XLOOKUP(Data[[#This Row],[Product]],products[Product],products[Cost per unit])</f>
        <v>6.49</v>
      </c>
      <c r="J97">
        <f>Data[[#This Row],[Cost per unit]]*Data[[#This Row],[Units]]</f>
        <v>603.57000000000005</v>
      </c>
    </row>
    <row r="98" spans="4:10" x14ac:dyDescent="0.25">
      <c r="D98" t="s">
        <v>11</v>
      </c>
      <c r="E98" t="s">
        <v>6</v>
      </c>
      <c r="F98" t="s">
        <v>18</v>
      </c>
      <c r="G98" s="5">
        <v>4305</v>
      </c>
      <c r="H98" s="3">
        <v>156</v>
      </c>
      <c r="I98">
        <f>_xlfn.XLOOKUP(Data[[#This Row],[Product]],products[Product],products[Cost per unit])</f>
        <v>13.15</v>
      </c>
      <c r="J98">
        <f>Data[[#This Row],[Cost per unit]]*Data[[#This Row],[Units]]</f>
        <v>2051.4</v>
      </c>
    </row>
    <row r="99" spans="4:10" x14ac:dyDescent="0.25">
      <c r="D99" t="s">
        <v>11</v>
      </c>
      <c r="E99" t="s">
        <v>20</v>
      </c>
      <c r="F99" t="s">
        <v>28</v>
      </c>
      <c r="G99" s="5">
        <v>2408</v>
      </c>
      <c r="H99" s="3">
        <v>9</v>
      </c>
      <c r="I99">
        <f>_xlfn.XLOOKUP(Data[[#This Row],[Product]],products[Product],products[Cost per unit])</f>
        <v>3.11</v>
      </c>
      <c r="J99">
        <f>Data[[#This Row],[Cost per unit]]*Data[[#This Row],[Units]]</f>
        <v>27.99</v>
      </c>
    </row>
    <row r="100" spans="4:10" x14ac:dyDescent="0.25">
      <c r="D100" t="s">
        <v>27</v>
      </c>
      <c r="E100" t="s">
        <v>14</v>
      </c>
      <c r="F100" t="s">
        <v>36</v>
      </c>
      <c r="G100" s="5">
        <v>1281</v>
      </c>
      <c r="H100" s="3">
        <v>18</v>
      </c>
      <c r="I100">
        <f>_xlfn.XLOOKUP(Data[[#This Row],[Product]],products[Product],products[Cost per unit])</f>
        <v>7.64</v>
      </c>
      <c r="J100">
        <f>Data[[#This Row],[Cost per unit]]*Data[[#This Row],[Units]]</f>
        <v>137.51999999999998</v>
      </c>
    </row>
    <row r="101" spans="4:10" x14ac:dyDescent="0.25">
      <c r="D101" t="s">
        <v>5</v>
      </c>
      <c r="E101" t="s">
        <v>9</v>
      </c>
      <c r="F101" t="s">
        <v>10</v>
      </c>
      <c r="G101" s="5">
        <v>12348</v>
      </c>
      <c r="H101" s="3">
        <v>234</v>
      </c>
      <c r="I101">
        <f>_xlfn.XLOOKUP(Data[[#This Row],[Product]],products[Product],products[Cost per unit])</f>
        <v>8.65</v>
      </c>
      <c r="J101">
        <f>Data[[#This Row],[Cost per unit]]*Data[[#This Row],[Units]]</f>
        <v>2024.1000000000001</v>
      </c>
    </row>
    <row r="102" spans="4:10" x14ac:dyDescent="0.25">
      <c r="D102" t="s">
        <v>27</v>
      </c>
      <c r="E102" t="s">
        <v>30</v>
      </c>
      <c r="F102" t="s">
        <v>40</v>
      </c>
      <c r="G102" s="5">
        <v>3689</v>
      </c>
      <c r="H102" s="3">
        <v>312</v>
      </c>
      <c r="I102">
        <f>_xlfn.XLOOKUP(Data[[#This Row],[Product]],products[Product],products[Cost per unit])</f>
        <v>10.38</v>
      </c>
      <c r="J102">
        <f>Data[[#This Row],[Cost per unit]]*Data[[#This Row],[Units]]</f>
        <v>3238.5600000000004</v>
      </c>
    </row>
    <row r="103" spans="4:10" x14ac:dyDescent="0.25">
      <c r="D103" t="s">
        <v>23</v>
      </c>
      <c r="E103" t="s">
        <v>14</v>
      </c>
      <c r="F103" t="s">
        <v>36</v>
      </c>
      <c r="G103" s="5">
        <v>2870</v>
      </c>
      <c r="H103" s="3">
        <v>300</v>
      </c>
      <c r="I103">
        <f>_xlfn.XLOOKUP(Data[[#This Row],[Product]],products[Product],products[Cost per unit])</f>
        <v>7.64</v>
      </c>
      <c r="J103">
        <f>Data[[#This Row],[Cost per unit]]*Data[[#This Row],[Units]]</f>
        <v>2292</v>
      </c>
    </row>
    <row r="104" spans="4:10" x14ac:dyDescent="0.25">
      <c r="D104" t="s">
        <v>26</v>
      </c>
      <c r="E104" t="s">
        <v>14</v>
      </c>
      <c r="F104" t="s">
        <v>39</v>
      </c>
      <c r="G104" s="5">
        <v>798</v>
      </c>
      <c r="H104" s="3">
        <v>519</v>
      </c>
      <c r="I104">
        <f>_xlfn.XLOOKUP(Data[[#This Row],[Product]],products[Product],products[Cost per unit])</f>
        <v>16.73</v>
      </c>
      <c r="J104">
        <f>Data[[#This Row],[Cost per unit]]*Data[[#This Row],[Units]]</f>
        <v>8682.8700000000008</v>
      </c>
    </row>
    <row r="105" spans="4:10" x14ac:dyDescent="0.25">
      <c r="D105" t="s">
        <v>13</v>
      </c>
      <c r="E105" t="s">
        <v>6</v>
      </c>
      <c r="F105" t="s">
        <v>41</v>
      </c>
      <c r="G105" s="5">
        <v>2933</v>
      </c>
      <c r="H105" s="3">
        <v>9</v>
      </c>
      <c r="I105">
        <f>_xlfn.XLOOKUP(Data[[#This Row],[Product]],products[Product],products[Cost per unit])</f>
        <v>9</v>
      </c>
      <c r="J105">
        <f>Data[[#This Row],[Cost per unit]]*Data[[#This Row],[Units]]</f>
        <v>81</v>
      </c>
    </row>
    <row r="106" spans="4:10" x14ac:dyDescent="0.25">
      <c r="D106" t="s">
        <v>25</v>
      </c>
      <c r="E106" t="s">
        <v>9</v>
      </c>
      <c r="F106" t="s">
        <v>12</v>
      </c>
      <c r="G106" s="5">
        <v>2744</v>
      </c>
      <c r="H106" s="3">
        <v>9</v>
      </c>
      <c r="I106">
        <f>_xlfn.XLOOKUP(Data[[#This Row],[Product]],products[Product],products[Cost per unit])</f>
        <v>11.88</v>
      </c>
      <c r="J106">
        <f>Data[[#This Row],[Cost per unit]]*Data[[#This Row],[Units]]</f>
        <v>106.92</v>
      </c>
    </row>
    <row r="107" spans="4:10" x14ac:dyDescent="0.25">
      <c r="D107" t="s">
        <v>5</v>
      </c>
      <c r="E107" t="s">
        <v>14</v>
      </c>
      <c r="F107" t="s">
        <v>19</v>
      </c>
      <c r="G107" s="5">
        <v>9772</v>
      </c>
      <c r="H107" s="3">
        <v>90</v>
      </c>
      <c r="I107">
        <f>_xlfn.XLOOKUP(Data[[#This Row],[Product]],products[Product],products[Cost per unit])</f>
        <v>12.37</v>
      </c>
      <c r="J107">
        <f>Data[[#This Row],[Cost per unit]]*Data[[#This Row],[Units]]</f>
        <v>1113.3</v>
      </c>
    </row>
    <row r="108" spans="4:10" x14ac:dyDescent="0.25">
      <c r="D108" t="s">
        <v>23</v>
      </c>
      <c r="E108" t="s">
        <v>30</v>
      </c>
      <c r="F108" t="s">
        <v>18</v>
      </c>
      <c r="G108" s="5">
        <v>1568</v>
      </c>
      <c r="H108" s="3">
        <v>96</v>
      </c>
      <c r="I108">
        <f>_xlfn.XLOOKUP(Data[[#This Row],[Product]],products[Product],products[Cost per unit])</f>
        <v>13.15</v>
      </c>
      <c r="J108">
        <f>Data[[#This Row],[Cost per unit]]*Data[[#This Row],[Units]]</f>
        <v>1262.4000000000001</v>
      </c>
    </row>
    <row r="109" spans="4:10" x14ac:dyDescent="0.25">
      <c r="D109" t="s">
        <v>26</v>
      </c>
      <c r="E109" t="s">
        <v>14</v>
      </c>
      <c r="F109" t="s">
        <v>29</v>
      </c>
      <c r="G109" s="5">
        <v>11417</v>
      </c>
      <c r="H109" s="3">
        <v>21</v>
      </c>
      <c r="I109">
        <f>_xlfn.XLOOKUP(Data[[#This Row],[Product]],products[Product],products[Cost per unit])</f>
        <v>8.7899999999999991</v>
      </c>
      <c r="J109">
        <f>Data[[#This Row],[Cost per unit]]*Data[[#This Row],[Units]]</f>
        <v>184.58999999999997</v>
      </c>
    </row>
    <row r="110" spans="4:10" x14ac:dyDescent="0.25">
      <c r="D110" t="s">
        <v>5</v>
      </c>
      <c r="E110" t="s">
        <v>30</v>
      </c>
      <c r="F110" t="s">
        <v>42</v>
      </c>
      <c r="G110" s="5">
        <v>6748</v>
      </c>
      <c r="H110" s="3">
        <v>48</v>
      </c>
      <c r="I110">
        <f>_xlfn.XLOOKUP(Data[[#This Row],[Product]],products[Product],products[Cost per unit])</f>
        <v>5.6</v>
      </c>
      <c r="J110">
        <f>Data[[#This Row],[Cost per unit]]*Data[[#This Row],[Units]]</f>
        <v>268.79999999999995</v>
      </c>
    </row>
    <row r="111" spans="4:10" x14ac:dyDescent="0.25">
      <c r="D111" t="s">
        <v>35</v>
      </c>
      <c r="E111" t="s">
        <v>14</v>
      </c>
      <c r="F111" t="s">
        <v>39</v>
      </c>
      <c r="G111" s="5">
        <v>1407</v>
      </c>
      <c r="H111" s="3">
        <v>72</v>
      </c>
      <c r="I111">
        <f>_xlfn.XLOOKUP(Data[[#This Row],[Product]],products[Product],products[Cost per unit])</f>
        <v>16.73</v>
      </c>
      <c r="J111">
        <f>Data[[#This Row],[Cost per unit]]*Data[[#This Row],[Units]]</f>
        <v>1204.56</v>
      </c>
    </row>
    <row r="112" spans="4:10" x14ac:dyDescent="0.25">
      <c r="D112" t="s">
        <v>8</v>
      </c>
      <c r="E112" t="s">
        <v>9</v>
      </c>
      <c r="F112" t="s">
        <v>32</v>
      </c>
      <c r="G112" s="5">
        <v>2023</v>
      </c>
      <c r="H112" s="3">
        <v>168</v>
      </c>
      <c r="I112">
        <f>_xlfn.XLOOKUP(Data[[#This Row],[Product]],products[Product],products[Cost per unit])</f>
        <v>7.16</v>
      </c>
      <c r="J112">
        <f>Data[[#This Row],[Cost per unit]]*Data[[#This Row],[Units]]</f>
        <v>1202.8800000000001</v>
      </c>
    </row>
    <row r="113" spans="4:10" x14ac:dyDescent="0.25">
      <c r="D113" t="s">
        <v>25</v>
      </c>
      <c r="E113" t="s">
        <v>17</v>
      </c>
      <c r="F113" t="s">
        <v>42</v>
      </c>
      <c r="G113" s="5">
        <v>5236</v>
      </c>
      <c r="H113" s="3">
        <v>51</v>
      </c>
      <c r="I113">
        <f>_xlfn.XLOOKUP(Data[[#This Row],[Product]],products[Product],products[Cost per unit])</f>
        <v>5.6</v>
      </c>
      <c r="J113">
        <f>Data[[#This Row],[Cost per unit]]*Data[[#This Row],[Units]]</f>
        <v>285.59999999999997</v>
      </c>
    </row>
    <row r="114" spans="4:10" x14ac:dyDescent="0.25">
      <c r="D114" t="s">
        <v>13</v>
      </c>
      <c r="E114" t="s">
        <v>14</v>
      </c>
      <c r="F114" t="s">
        <v>36</v>
      </c>
      <c r="G114" s="5">
        <v>1925</v>
      </c>
      <c r="H114" s="3">
        <v>192</v>
      </c>
      <c r="I114">
        <f>_xlfn.XLOOKUP(Data[[#This Row],[Product]],products[Product],products[Cost per unit])</f>
        <v>7.64</v>
      </c>
      <c r="J114">
        <f>Data[[#This Row],[Cost per unit]]*Data[[#This Row],[Units]]</f>
        <v>1466.8799999999999</v>
      </c>
    </row>
    <row r="115" spans="4:10" x14ac:dyDescent="0.25">
      <c r="D115" t="s">
        <v>23</v>
      </c>
      <c r="E115" t="s">
        <v>6</v>
      </c>
      <c r="F115" t="s">
        <v>24</v>
      </c>
      <c r="G115" s="5">
        <v>6608</v>
      </c>
      <c r="H115" s="3">
        <v>225</v>
      </c>
      <c r="I115">
        <f>_xlfn.XLOOKUP(Data[[#This Row],[Product]],products[Product],products[Cost per unit])</f>
        <v>11.7</v>
      </c>
      <c r="J115">
        <f>Data[[#This Row],[Cost per unit]]*Data[[#This Row],[Units]]</f>
        <v>2632.5</v>
      </c>
    </row>
    <row r="116" spans="4:10" x14ac:dyDescent="0.25">
      <c r="D116" t="s">
        <v>16</v>
      </c>
      <c r="E116" t="s">
        <v>30</v>
      </c>
      <c r="F116" t="s">
        <v>42</v>
      </c>
      <c r="G116" s="5">
        <v>8008</v>
      </c>
      <c r="H116" s="3">
        <v>456</v>
      </c>
      <c r="I116">
        <f>_xlfn.XLOOKUP(Data[[#This Row],[Product]],products[Product],products[Cost per unit])</f>
        <v>5.6</v>
      </c>
      <c r="J116">
        <f>Data[[#This Row],[Cost per unit]]*Data[[#This Row],[Units]]</f>
        <v>2553.6</v>
      </c>
    </row>
    <row r="117" spans="4:10" x14ac:dyDescent="0.25">
      <c r="D117" t="s">
        <v>35</v>
      </c>
      <c r="E117" t="s">
        <v>30</v>
      </c>
      <c r="F117" t="s">
        <v>18</v>
      </c>
      <c r="G117" s="5">
        <v>1428</v>
      </c>
      <c r="H117" s="3">
        <v>93</v>
      </c>
      <c r="I117">
        <f>_xlfn.XLOOKUP(Data[[#This Row],[Product]],products[Product],products[Cost per unit])</f>
        <v>13.15</v>
      </c>
      <c r="J117">
        <f>Data[[#This Row],[Cost per unit]]*Data[[#This Row],[Units]]</f>
        <v>1222.95</v>
      </c>
    </row>
    <row r="118" spans="4:10" x14ac:dyDescent="0.25">
      <c r="D118" t="s">
        <v>16</v>
      </c>
      <c r="E118" t="s">
        <v>30</v>
      </c>
      <c r="F118" t="s">
        <v>12</v>
      </c>
      <c r="G118" s="5">
        <v>525</v>
      </c>
      <c r="H118" s="3">
        <v>48</v>
      </c>
      <c r="I118">
        <f>_xlfn.XLOOKUP(Data[[#This Row],[Product]],products[Product],products[Cost per unit])</f>
        <v>11.88</v>
      </c>
      <c r="J118">
        <f>Data[[#This Row],[Cost per unit]]*Data[[#This Row],[Units]]</f>
        <v>570.24</v>
      </c>
    </row>
    <row r="119" spans="4:10" x14ac:dyDescent="0.25">
      <c r="D119" t="s">
        <v>16</v>
      </c>
      <c r="E119" t="s">
        <v>6</v>
      </c>
      <c r="F119" t="s">
        <v>15</v>
      </c>
      <c r="G119" s="5">
        <v>1505</v>
      </c>
      <c r="H119" s="3">
        <v>102</v>
      </c>
      <c r="I119">
        <f>_xlfn.XLOOKUP(Data[[#This Row],[Product]],products[Product],products[Cost per unit])</f>
        <v>6.47</v>
      </c>
      <c r="J119">
        <f>Data[[#This Row],[Cost per unit]]*Data[[#This Row],[Units]]</f>
        <v>659.93999999999994</v>
      </c>
    </row>
    <row r="120" spans="4:10" x14ac:dyDescent="0.25">
      <c r="D120" t="s">
        <v>23</v>
      </c>
      <c r="E120" t="s">
        <v>9</v>
      </c>
      <c r="F120" t="s">
        <v>7</v>
      </c>
      <c r="G120" s="5">
        <v>6755</v>
      </c>
      <c r="H120" s="3">
        <v>252</v>
      </c>
      <c r="I120">
        <f>_xlfn.XLOOKUP(Data[[#This Row],[Product]],products[Product],products[Cost per unit])</f>
        <v>14.49</v>
      </c>
      <c r="J120">
        <f>Data[[#This Row],[Cost per unit]]*Data[[#This Row],[Units]]</f>
        <v>3651.48</v>
      </c>
    </row>
    <row r="121" spans="4:10" x14ac:dyDescent="0.25">
      <c r="D121" t="s">
        <v>26</v>
      </c>
      <c r="E121" t="s">
        <v>6</v>
      </c>
      <c r="F121" t="s">
        <v>15</v>
      </c>
      <c r="G121" s="5">
        <v>11571</v>
      </c>
      <c r="H121" s="3">
        <v>138</v>
      </c>
      <c r="I121">
        <f>_xlfn.XLOOKUP(Data[[#This Row],[Product]],products[Product],products[Cost per unit])</f>
        <v>6.47</v>
      </c>
      <c r="J121">
        <f>Data[[#This Row],[Cost per unit]]*Data[[#This Row],[Units]]</f>
        <v>892.86</v>
      </c>
    </row>
    <row r="122" spans="4:10" x14ac:dyDescent="0.25">
      <c r="D122" t="s">
        <v>5</v>
      </c>
      <c r="E122" t="s">
        <v>20</v>
      </c>
      <c r="F122" t="s">
        <v>18</v>
      </c>
      <c r="G122" s="5">
        <v>2541</v>
      </c>
      <c r="H122" s="3">
        <v>90</v>
      </c>
      <c r="I122">
        <f>_xlfn.XLOOKUP(Data[[#This Row],[Product]],products[Product],products[Cost per unit])</f>
        <v>13.15</v>
      </c>
      <c r="J122">
        <f>Data[[#This Row],[Cost per unit]]*Data[[#This Row],[Units]]</f>
        <v>1183.5</v>
      </c>
    </row>
    <row r="123" spans="4:10" x14ac:dyDescent="0.25">
      <c r="D123" t="s">
        <v>13</v>
      </c>
      <c r="E123" t="s">
        <v>6</v>
      </c>
      <c r="F123" t="s">
        <v>7</v>
      </c>
      <c r="G123" s="5">
        <v>1526</v>
      </c>
      <c r="H123" s="3">
        <v>240</v>
      </c>
      <c r="I123">
        <f>_xlfn.XLOOKUP(Data[[#This Row],[Product]],products[Product],products[Cost per unit])</f>
        <v>14.49</v>
      </c>
      <c r="J123">
        <f>Data[[#This Row],[Cost per unit]]*Data[[#This Row],[Units]]</f>
        <v>3477.6</v>
      </c>
    </row>
    <row r="124" spans="4:10" x14ac:dyDescent="0.25">
      <c r="D124" t="s">
        <v>5</v>
      </c>
      <c r="E124" t="s">
        <v>20</v>
      </c>
      <c r="F124" t="s">
        <v>12</v>
      </c>
      <c r="G124" s="5">
        <v>6125</v>
      </c>
      <c r="H124" s="3">
        <v>102</v>
      </c>
      <c r="I124">
        <f>_xlfn.XLOOKUP(Data[[#This Row],[Product]],products[Product],products[Cost per unit])</f>
        <v>11.88</v>
      </c>
      <c r="J124">
        <f>Data[[#This Row],[Cost per unit]]*Data[[#This Row],[Units]]</f>
        <v>1211.76</v>
      </c>
    </row>
    <row r="125" spans="4:10" x14ac:dyDescent="0.25">
      <c r="D125" t="s">
        <v>13</v>
      </c>
      <c r="E125" t="s">
        <v>9</v>
      </c>
      <c r="F125" t="s">
        <v>39</v>
      </c>
      <c r="G125" s="5">
        <v>847</v>
      </c>
      <c r="H125" s="3">
        <v>129</v>
      </c>
      <c r="I125">
        <f>_xlfn.XLOOKUP(Data[[#This Row],[Product]],products[Product],products[Cost per unit])</f>
        <v>16.73</v>
      </c>
      <c r="J125">
        <f>Data[[#This Row],[Cost per unit]]*Data[[#This Row],[Units]]</f>
        <v>2158.17</v>
      </c>
    </row>
    <row r="126" spans="4:10" x14ac:dyDescent="0.25">
      <c r="D126" t="s">
        <v>8</v>
      </c>
      <c r="E126" t="s">
        <v>9</v>
      </c>
      <c r="F126" t="s">
        <v>39</v>
      </c>
      <c r="G126" s="5">
        <v>4753</v>
      </c>
      <c r="H126" s="3">
        <v>300</v>
      </c>
      <c r="I126">
        <f>_xlfn.XLOOKUP(Data[[#This Row],[Product]],products[Product],products[Cost per unit])</f>
        <v>16.73</v>
      </c>
      <c r="J126">
        <f>Data[[#This Row],[Cost per unit]]*Data[[#This Row],[Units]]</f>
        <v>5019</v>
      </c>
    </row>
    <row r="127" spans="4:10" x14ac:dyDescent="0.25">
      <c r="D127" t="s">
        <v>16</v>
      </c>
      <c r="E127" t="s">
        <v>20</v>
      </c>
      <c r="F127" t="s">
        <v>19</v>
      </c>
      <c r="G127" s="5">
        <v>959</v>
      </c>
      <c r="H127" s="3">
        <v>135</v>
      </c>
      <c r="I127">
        <f>_xlfn.XLOOKUP(Data[[#This Row],[Product]],products[Product],products[Cost per unit])</f>
        <v>12.37</v>
      </c>
      <c r="J127">
        <f>Data[[#This Row],[Cost per unit]]*Data[[#This Row],[Units]]</f>
        <v>1669.9499999999998</v>
      </c>
    </row>
    <row r="128" spans="4:10" x14ac:dyDescent="0.25">
      <c r="D128" t="s">
        <v>23</v>
      </c>
      <c r="E128" t="s">
        <v>9</v>
      </c>
      <c r="F128" t="s">
        <v>38</v>
      </c>
      <c r="G128" s="5">
        <v>2793</v>
      </c>
      <c r="H128" s="3">
        <v>114</v>
      </c>
      <c r="I128">
        <f>_xlfn.XLOOKUP(Data[[#This Row],[Product]],products[Product],products[Cost per unit])</f>
        <v>4.97</v>
      </c>
      <c r="J128">
        <f>Data[[#This Row],[Cost per unit]]*Data[[#This Row],[Units]]</f>
        <v>566.57999999999993</v>
      </c>
    </row>
    <row r="129" spans="4:10" x14ac:dyDescent="0.25">
      <c r="D129" t="s">
        <v>23</v>
      </c>
      <c r="E129" t="s">
        <v>9</v>
      </c>
      <c r="F129" t="s">
        <v>24</v>
      </c>
      <c r="G129" s="5">
        <v>4606</v>
      </c>
      <c r="H129" s="3">
        <v>63</v>
      </c>
      <c r="I129">
        <f>_xlfn.XLOOKUP(Data[[#This Row],[Product]],products[Product],products[Cost per unit])</f>
        <v>11.7</v>
      </c>
      <c r="J129">
        <f>Data[[#This Row],[Cost per unit]]*Data[[#This Row],[Units]]</f>
        <v>737.09999999999991</v>
      </c>
    </row>
    <row r="130" spans="4:10" x14ac:dyDescent="0.25">
      <c r="D130" t="s">
        <v>23</v>
      </c>
      <c r="E130" t="s">
        <v>14</v>
      </c>
      <c r="F130" t="s">
        <v>32</v>
      </c>
      <c r="G130" s="5">
        <v>5551</v>
      </c>
      <c r="H130" s="3">
        <v>252</v>
      </c>
      <c r="I130">
        <f>_xlfn.XLOOKUP(Data[[#This Row],[Product]],products[Product],products[Cost per unit])</f>
        <v>7.16</v>
      </c>
      <c r="J130">
        <f>Data[[#This Row],[Cost per unit]]*Data[[#This Row],[Units]]</f>
        <v>1804.32</v>
      </c>
    </row>
    <row r="131" spans="4:10" x14ac:dyDescent="0.25">
      <c r="D131" t="s">
        <v>35</v>
      </c>
      <c r="E131" t="s">
        <v>14</v>
      </c>
      <c r="F131" t="s">
        <v>10</v>
      </c>
      <c r="G131" s="5">
        <v>6657</v>
      </c>
      <c r="H131" s="3">
        <v>303</v>
      </c>
      <c r="I131">
        <f>_xlfn.XLOOKUP(Data[[#This Row],[Product]],products[Product],products[Cost per unit])</f>
        <v>8.65</v>
      </c>
      <c r="J131">
        <f>Data[[#This Row],[Cost per unit]]*Data[[#This Row],[Units]]</f>
        <v>2620.9500000000003</v>
      </c>
    </row>
    <row r="132" spans="4:10" x14ac:dyDescent="0.25">
      <c r="D132" t="s">
        <v>23</v>
      </c>
      <c r="E132" t="s">
        <v>17</v>
      </c>
      <c r="F132" t="s">
        <v>28</v>
      </c>
      <c r="G132" s="5">
        <v>4438</v>
      </c>
      <c r="H132" s="3">
        <v>246</v>
      </c>
      <c r="I132">
        <f>_xlfn.XLOOKUP(Data[[#This Row],[Product]],products[Product],products[Cost per unit])</f>
        <v>3.11</v>
      </c>
      <c r="J132">
        <f>Data[[#This Row],[Cost per unit]]*Data[[#This Row],[Units]]</f>
        <v>765.06</v>
      </c>
    </row>
    <row r="133" spans="4:10" x14ac:dyDescent="0.25">
      <c r="D133" t="s">
        <v>8</v>
      </c>
      <c r="E133" t="s">
        <v>20</v>
      </c>
      <c r="F133" t="s">
        <v>22</v>
      </c>
      <c r="G133" s="5">
        <v>168</v>
      </c>
      <c r="H133" s="3">
        <v>84</v>
      </c>
      <c r="I133">
        <f>_xlfn.XLOOKUP(Data[[#This Row],[Product]],products[Product],products[Cost per unit])</f>
        <v>9.77</v>
      </c>
      <c r="J133">
        <f>Data[[#This Row],[Cost per unit]]*Data[[#This Row],[Units]]</f>
        <v>820.68</v>
      </c>
    </row>
    <row r="134" spans="4:10" x14ac:dyDescent="0.25">
      <c r="D134" t="s">
        <v>23</v>
      </c>
      <c r="E134" t="s">
        <v>30</v>
      </c>
      <c r="F134" t="s">
        <v>28</v>
      </c>
      <c r="G134" s="5">
        <v>7777</v>
      </c>
      <c r="H134" s="3">
        <v>39</v>
      </c>
      <c r="I134">
        <f>_xlfn.XLOOKUP(Data[[#This Row],[Product]],products[Product],products[Cost per unit])</f>
        <v>3.11</v>
      </c>
      <c r="J134">
        <f>Data[[#This Row],[Cost per unit]]*Data[[#This Row],[Units]]</f>
        <v>121.28999999999999</v>
      </c>
    </row>
    <row r="135" spans="4:10" x14ac:dyDescent="0.25">
      <c r="D135" t="s">
        <v>25</v>
      </c>
      <c r="E135" t="s">
        <v>14</v>
      </c>
      <c r="F135" t="s">
        <v>28</v>
      </c>
      <c r="G135" s="5">
        <v>3339</v>
      </c>
      <c r="H135" s="3">
        <v>348</v>
      </c>
      <c r="I135">
        <f>_xlfn.XLOOKUP(Data[[#This Row],[Product]],products[Product],products[Cost per unit])</f>
        <v>3.11</v>
      </c>
      <c r="J135">
        <f>Data[[#This Row],[Cost per unit]]*Data[[#This Row],[Units]]</f>
        <v>1082.28</v>
      </c>
    </row>
    <row r="136" spans="4:10" x14ac:dyDescent="0.25">
      <c r="D136" t="s">
        <v>23</v>
      </c>
      <c r="E136" t="s">
        <v>6</v>
      </c>
      <c r="F136" t="s">
        <v>19</v>
      </c>
      <c r="G136" s="5">
        <v>6391</v>
      </c>
      <c r="H136" s="3">
        <v>48</v>
      </c>
      <c r="I136">
        <f>_xlfn.XLOOKUP(Data[[#This Row],[Product]],products[Product],products[Cost per unit])</f>
        <v>12.37</v>
      </c>
      <c r="J136">
        <f>Data[[#This Row],[Cost per unit]]*Data[[#This Row],[Units]]</f>
        <v>593.76</v>
      </c>
    </row>
    <row r="137" spans="4:10" x14ac:dyDescent="0.25">
      <c r="D137" t="s">
        <v>25</v>
      </c>
      <c r="E137" t="s">
        <v>6</v>
      </c>
      <c r="F137" t="s">
        <v>22</v>
      </c>
      <c r="G137" s="5">
        <v>518</v>
      </c>
      <c r="H137" s="3">
        <v>75</v>
      </c>
      <c r="I137">
        <f>_xlfn.XLOOKUP(Data[[#This Row],[Product]],products[Product],products[Cost per unit])</f>
        <v>9.77</v>
      </c>
      <c r="J137">
        <f>Data[[#This Row],[Cost per unit]]*Data[[#This Row],[Units]]</f>
        <v>732.75</v>
      </c>
    </row>
    <row r="138" spans="4:10" x14ac:dyDescent="0.25">
      <c r="D138" t="s">
        <v>23</v>
      </c>
      <c r="E138" t="s">
        <v>20</v>
      </c>
      <c r="F138" t="s">
        <v>40</v>
      </c>
      <c r="G138" s="5">
        <v>5677</v>
      </c>
      <c r="H138" s="3">
        <v>258</v>
      </c>
      <c r="I138">
        <f>_xlfn.XLOOKUP(Data[[#This Row],[Product]],products[Product],products[Cost per unit])</f>
        <v>10.38</v>
      </c>
      <c r="J138">
        <f>Data[[#This Row],[Cost per unit]]*Data[[#This Row],[Units]]</f>
        <v>2678.0400000000004</v>
      </c>
    </row>
    <row r="139" spans="4:10" x14ac:dyDescent="0.25">
      <c r="D139" t="s">
        <v>16</v>
      </c>
      <c r="E139" t="s">
        <v>17</v>
      </c>
      <c r="F139" t="s">
        <v>28</v>
      </c>
      <c r="G139" s="5">
        <v>6048</v>
      </c>
      <c r="H139" s="3">
        <v>27</v>
      </c>
      <c r="I139">
        <f>_xlfn.XLOOKUP(Data[[#This Row],[Product]],products[Product],products[Cost per unit])</f>
        <v>3.11</v>
      </c>
      <c r="J139">
        <f>Data[[#This Row],[Cost per unit]]*Data[[#This Row],[Units]]</f>
        <v>83.97</v>
      </c>
    </row>
    <row r="140" spans="4:10" x14ac:dyDescent="0.25">
      <c r="D140" t="s">
        <v>8</v>
      </c>
      <c r="E140" t="s">
        <v>20</v>
      </c>
      <c r="F140" t="s">
        <v>10</v>
      </c>
      <c r="G140" s="5">
        <v>3752</v>
      </c>
      <c r="H140" s="3">
        <v>213</v>
      </c>
      <c r="I140">
        <f>_xlfn.XLOOKUP(Data[[#This Row],[Product]],products[Product],products[Cost per unit])</f>
        <v>8.65</v>
      </c>
      <c r="J140">
        <f>Data[[#This Row],[Cost per unit]]*Data[[#This Row],[Units]]</f>
        <v>1842.45</v>
      </c>
    </row>
    <row r="141" spans="4:10" x14ac:dyDescent="0.25">
      <c r="D141" t="s">
        <v>25</v>
      </c>
      <c r="E141" t="s">
        <v>9</v>
      </c>
      <c r="F141" t="s">
        <v>32</v>
      </c>
      <c r="G141" s="5">
        <v>4480</v>
      </c>
      <c r="H141" s="3">
        <v>357</v>
      </c>
      <c r="I141">
        <f>_xlfn.XLOOKUP(Data[[#This Row],[Product]],products[Product],products[Cost per unit])</f>
        <v>7.16</v>
      </c>
      <c r="J141">
        <f>Data[[#This Row],[Cost per unit]]*Data[[#This Row],[Units]]</f>
        <v>2556.12</v>
      </c>
    </row>
    <row r="142" spans="4:10" x14ac:dyDescent="0.25">
      <c r="D142" t="s">
        <v>11</v>
      </c>
      <c r="E142" t="s">
        <v>6</v>
      </c>
      <c r="F142" t="s">
        <v>12</v>
      </c>
      <c r="G142" s="5">
        <v>259</v>
      </c>
      <c r="H142" s="3">
        <v>207</v>
      </c>
      <c r="I142">
        <f>_xlfn.XLOOKUP(Data[[#This Row],[Product]],products[Product],products[Cost per unit])</f>
        <v>11.88</v>
      </c>
      <c r="J142">
        <f>Data[[#This Row],[Cost per unit]]*Data[[#This Row],[Units]]</f>
        <v>2459.1600000000003</v>
      </c>
    </row>
    <row r="143" spans="4:10" x14ac:dyDescent="0.25">
      <c r="D143" t="s">
        <v>8</v>
      </c>
      <c r="E143" t="s">
        <v>6</v>
      </c>
      <c r="F143" t="s">
        <v>7</v>
      </c>
      <c r="G143" s="5">
        <v>42</v>
      </c>
      <c r="H143" s="3">
        <v>150</v>
      </c>
      <c r="I143">
        <f>_xlfn.XLOOKUP(Data[[#This Row],[Product]],products[Product],products[Cost per unit])</f>
        <v>14.49</v>
      </c>
      <c r="J143">
        <f>Data[[#This Row],[Cost per unit]]*Data[[#This Row],[Units]]</f>
        <v>2173.5</v>
      </c>
    </row>
    <row r="144" spans="4:10" x14ac:dyDescent="0.25">
      <c r="D144" t="s">
        <v>13</v>
      </c>
      <c r="E144" t="s">
        <v>14</v>
      </c>
      <c r="F144" t="s">
        <v>42</v>
      </c>
      <c r="G144" s="5">
        <v>98</v>
      </c>
      <c r="H144" s="3">
        <v>204</v>
      </c>
      <c r="I144">
        <f>_xlfn.XLOOKUP(Data[[#This Row],[Product]],products[Product],products[Cost per unit])</f>
        <v>5.6</v>
      </c>
      <c r="J144">
        <f>Data[[#This Row],[Cost per unit]]*Data[[#This Row],[Units]]</f>
        <v>1142.3999999999999</v>
      </c>
    </row>
    <row r="145" spans="4:10" x14ac:dyDescent="0.25">
      <c r="D145" t="s">
        <v>23</v>
      </c>
      <c r="E145" t="s">
        <v>9</v>
      </c>
      <c r="F145" t="s">
        <v>39</v>
      </c>
      <c r="G145" s="5">
        <v>2478</v>
      </c>
      <c r="H145" s="3">
        <v>21</v>
      </c>
      <c r="I145">
        <f>_xlfn.XLOOKUP(Data[[#This Row],[Product]],products[Product],products[Cost per unit])</f>
        <v>16.73</v>
      </c>
      <c r="J145">
        <f>Data[[#This Row],[Cost per unit]]*Data[[#This Row],[Units]]</f>
        <v>351.33</v>
      </c>
    </row>
    <row r="146" spans="4:10" x14ac:dyDescent="0.25">
      <c r="D146" t="s">
        <v>13</v>
      </c>
      <c r="E146" t="s">
        <v>30</v>
      </c>
      <c r="F146" t="s">
        <v>19</v>
      </c>
      <c r="G146" s="5">
        <v>7847</v>
      </c>
      <c r="H146" s="3">
        <v>174</v>
      </c>
      <c r="I146">
        <f>_xlfn.XLOOKUP(Data[[#This Row],[Product]],products[Product],products[Cost per unit])</f>
        <v>12.37</v>
      </c>
      <c r="J146">
        <f>Data[[#This Row],[Cost per unit]]*Data[[#This Row],[Units]]</f>
        <v>2152.3799999999997</v>
      </c>
    </row>
    <row r="147" spans="4:10" x14ac:dyDescent="0.25">
      <c r="D147" t="s">
        <v>26</v>
      </c>
      <c r="E147" t="s">
        <v>6</v>
      </c>
      <c r="F147" t="s">
        <v>28</v>
      </c>
      <c r="G147" s="5">
        <v>9926</v>
      </c>
      <c r="H147" s="3">
        <v>201</v>
      </c>
      <c r="I147">
        <f>_xlfn.XLOOKUP(Data[[#This Row],[Product]],products[Product],products[Cost per unit])</f>
        <v>3.11</v>
      </c>
      <c r="J147">
        <f>Data[[#This Row],[Cost per unit]]*Data[[#This Row],[Units]]</f>
        <v>625.11</v>
      </c>
    </row>
    <row r="148" spans="4:10" x14ac:dyDescent="0.25">
      <c r="D148" t="s">
        <v>8</v>
      </c>
      <c r="E148" t="s">
        <v>20</v>
      </c>
      <c r="F148" t="s">
        <v>31</v>
      </c>
      <c r="G148" s="5">
        <v>819</v>
      </c>
      <c r="H148" s="3">
        <v>510</v>
      </c>
      <c r="I148">
        <f>_xlfn.XLOOKUP(Data[[#This Row],[Product]],products[Product],products[Cost per unit])</f>
        <v>9.33</v>
      </c>
      <c r="J148">
        <f>Data[[#This Row],[Cost per unit]]*Data[[#This Row],[Units]]</f>
        <v>4758.3</v>
      </c>
    </row>
    <row r="149" spans="4:10" x14ac:dyDescent="0.25">
      <c r="D149" t="s">
        <v>16</v>
      </c>
      <c r="E149" t="s">
        <v>17</v>
      </c>
      <c r="F149" t="s">
        <v>32</v>
      </c>
      <c r="G149" s="5">
        <v>3052</v>
      </c>
      <c r="H149" s="3">
        <v>378</v>
      </c>
      <c r="I149">
        <f>_xlfn.XLOOKUP(Data[[#This Row],[Product]],products[Product],products[Cost per unit])</f>
        <v>7.16</v>
      </c>
      <c r="J149">
        <f>Data[[#This Row],[Cost per unit]]*Data[[#This Row],[Units]]</f>
        <v>2706.48</v>
      </c>
    </row>
    <row r="150" spans="4:10" x14ac:dyDescent="0.25">
      <c r="D150" t="s">
        <v>11</v>
      </c>
      <c r="E150" t="s">
        <v>30</v>
      </c>
      <c r="F150" t="s">
        <v>41</v>
      </c>
      <c r="G150" s="5">
        <v>6832</v>
      </c>
      <c r="H150" s="3">
        <v>27</v>
      </c>
      <c r="I150">
        <f>_xlfn.XLOOKUP(Data[[#This Row],[Product]],products[Product],products[Cost per unit])</f>
        <v>9</v>
      </c>
      <c r="J150">
        <f>Data[[#This Row],[Cost per unit]]*Data[[#This Row],[Units]]</f>
        <v>243</v>
      </c>
    </row>
    <row r="151" spans="4:10" x14ac:dyDescent="0.25">
      <c r="D151" t="s">
        <v>26</v>
      </c>
      <c r="E151" t="s">
        <v>17</v>
      </c>
      <c r="F151" t="s">
        <v>29</v>
      </c>
      <c r="G151" s="5">
        <v>2016</v>
      </c>
      <c r="H151" s="3">
        <v>117</v>
      </c>
      <c r="I151">
        <f>_xlfn.XLOOKUP(Data[[#This Row],[Product]],products[Product],products[Cost per unit])</f>
        <v>8.7899999999999991</v>
      </c>
      <c r="J151">
        <f>Data[[#This Row],[Cost per unit]]*Data[[#This Row],[Units]]</f>
        <v>1028.4299999999998</v>
      </c>
    </row>
    <row r="152" spans="4:10" x14ac:dyDescent="0.25">
      <c r="D152" t="s">
        <v>16</v>
      </c>
      <c r="E152" t="s">
        <v>20</v>
      </c>
      <c r="F152" t="s">
        <v>41</v>
      </c>
      <c r="G152" s="5">
        <v>7322</v>
      </c>
      <c r="H152" s="3">
        <v>36</v>
      </c>
      <c r="I152">
        <f>_xlfn.XLOOKUP(Data[[#This Row],[Product]],products[Product],products[Cost per unit])</f>
        <v>9</v>
      </c>
      <c r="J152">
        <f>Data[[#This Row],[Cost per unit]]*Data[[#This Row],[Units]]</f>
        <v>324</v>
      </c>
    </row>
    <row r="153" spans="4:10" x14ac:dyDescent="0.25">
      <c r="D153" t="s">
        <v>8</v>
      </c>
      <c r="E153" t="s">
        <v>9</v>
      </c>
      <c r="F153" t="s">
        <v>19</v>
      </c>
      <c r="G153" s="5">
        <v>357</v>
      </c>
      <c r="H153" s="3">
        <v>126</v>
      </c>
      <c r="I153">
        <f>_xlfn.XLOOKUP(Data[[#This Row],[Product]],products[Product],products[Cost per unit])</f>
        <v>12.37</v>
      </c>
      <c r="J153">
        <f>Data[[#This Row],[Cost per unit]]*Data[[#This Row],[Units]]</f>
        <v>1558.62</v>
      </c>
    </row>
    <row r="154" spans="4:10" x14ac:dyDescent="0.25">
      <c r="D154" t="s">
        <v>11</v>
      </c>
      <c r="E154" t="s">
        <v>17</v>
      </c>
      <c r="F154" t="s">
        <v>18</v>
      </c>
      <c r="G154" s="5">
        <v>3192</v>
      </c>
      <c r="H154" s="3">
        <v>72</v>
      </c>
      <c r="I154">
        <f>_xlfn.XLOOKUP(Data[[#This Row],[Product]],products[Product],products[Cost per unit])</f>
        <v>13.15</v>
      </c>
      <c r="J154">
        <f>Data[[#This Row],[Cost per unit]]*Data[[#This Row],[Units]]</f>
        <v>946.80000000000007</v>
      </c>
    </row>
    <row r="155" spans="4:10" x14ac:dyDescent="0.25">
      <c r="D155" t="s">
        <v>23</v>
      </c>
      <c r="E155" t="s">
        <v>14</v>
      </c>
      <c r="F155" t="s">
        <v>22</v>
      </c>
      <c r="G155" s="5">
        <v>8435</v>
      </c>
      <c r="H155" s="3">
        <v>42</v>
      </c>
      <c r="I155">
        <f>_xlfn.XLOOKUP(Data[[#This Row],[Product]],products[Product],products[Cost per unit])</f>
        <v>9.77</v>
      </c>
      <c r="J155">
        <f>Data[[#This Row],[Cost per unit]]*Data[[#This Row],[Units]]</f>
        <v>410.34</v>
      </c>
    </row>
    <row r="156" spans="4:10" x14ac:dyDescent="0.25">
      <c r="D156" t="s">
        <v>5</v>
      </c>
      <c r="E156" t="s">
        <v>17</v>
      </c>
      <c r="F156" t="s">
        <v>32</v>
      </c>
      <c r="G156" s="5">
        <v>0</v>
      </c>
      <c r="H156" s="3">
        <v>135</v>
      </c>
      <c r="I156">
        <f>_xlfn.XLOOKUP(Data[[#This Row],[Product]],products[Product],products[Cost per unit])</f>
        <v>7.16</v>
      </c>
      <c r="J156">
        <f>Data[[#This Row],[Cost per unit]]*Data[[#This Row],[Units]]</f>
        <v>966.6</v>
      </c>
    </row>
    <row r="157" spans="4:10" x14ac:dyDescent="0.25">
      <c r="D157" t="s">
        <v>23</v>
      </c>
      <c r="E157" t="s">
        <v>30</v>
      </c>
      <c r="F157" t="s">
        <v>38</v>
      </c>
      <c r="G157" s="5">
        <v>8862</v>
      </c>
      <c r="H157" s="3">
        <v>189</v>
      </c>
      <c r="I157">
        <f>_xlfn.XLOOKUP(Data[[#This Row],[Product]],products[Product],products[Cost per unit])</f>
        <v>4.97</v>
      </c>
      <c r="J157">
        <f>Data[[#This Row],[Cost per unit]]*Data[[#This Row],[Units]]</f>
        <v>939.32999999999993</v>
      </c>
    </row>
    <row r="158" spans="4:10" x14ac:dyDescent="0.25">
      <c r="D158" t="s">
        <v>16</v>
      </c>
      <c r="E158" t="s">
        <v>6</v>
      </c>
      <c r="F158" t="s">
        <v>40</v>
      </c>
      <c r="G158" s="5">
        <v>3556</v>
      </c>
      <c r="H158" s="3">
        <v>459</v>
      </c>
      <c r="I158">
        <f>_xlfn.XLOOKUP(Data[[#This Row],[Product]],products[Product],products[Cost per unit])</f>
        <v>10.38</v>
      </c>
      <c r="J158">
        <f>Data[[#This Row],[Cost per unit]]*Data[[#This Row],[Units]]</f>
        <v>4764.42</v>
      </c>
    </row>
    <row r="159" spans="4:10" x14ac:dyDescent="0.25">
      <c r="D159" t="s">
        <v>25</v>
      </c>
      <c r="E159" t="s">
        <v>30</v>
      </c>
      <c r="F159" t="s">
        <v>37</v>
      </c>
      <c r="G159" s="5">
        <v>7280</v>
      </c>
      <c r="H159" s="3">
        <v>201</v>
      </c>
      <c r="I159">
        <f>_xlfn.XLOOKUP(Data[[#This Row],[Product]],products[Product],products[Cost per unit])</f>
        <v>11.73</v>
      </c>
      <c r="J159">
        <f>Data[[#This Row],[Cost per unit]]*Data[[#This Row],[Units]]</f>
        <v>2357.73</v>
      </c>
    </row>
    <row r="160" spans="4:10" x14ac:dyDescent="0.25">
      <c r="D160" t="s">
        <v>16</v>
      </c>
      <c r="E160" t="s">
        <v>30</v>
      </c>
      <c r="F160" t="s">
        <v>7</v>
      </c>
      <c r="G160" s="5">
        <v>3402</v>
      </c>
      <c r="H160" s="3">
        <v>366</v>
      </c>
      <c r="I160">
        <f>_xlfn.XLOOKUP(Data[[#This Row],[Product]],products[Product],products[Cost per unit])</f>
        <v>14.49</v>
      </c>
      <c r="J160">
        <f>Data[[#This Row],[Cost per unit]]*Data[[#This Row],[Units]]</f>
        <v>5303.34</v>
      </c>
    </row>
    <row r="161" spans="4:10" x14ac:dyDescent="0.25">
      <c r="D161" t="s">
        <v>27</v>
      </c>
      <c r="E161" t="s">
        <v>6</v>
      </c>
      <c r="F161" t="s">
        <v>32</v>
      </c>
      <c r="G161" s="5">
        <v>4592</v>
      </c>
      <c r="H161" s="3">
        <v>324</v>
      </c>
      <c r="I161">
        <f>_xlfn.XLOOKUP(Data[[#This Row],[Product]],products[Product],products[Cost per unit])</f>
        <v>7.16</v>
      </c>
      <c r="J161">
        <f>Data[[#This Row],[Cost per unit]]*Data[[#This Row],[Units]]</f>
        <v>2319.84</v>
      </c>
    </row>
    <row r="162" spans="4:10" x14ac:dyDescent="0.25">
      <c r="D162" t="s">
        <v>11</v>
      </c>
      <c r="E162" t="s">
        <v>9</v>
      </c>
      <c r="F162" t="s">
        <v>37</v>
      </c>
      <c r="G162" s="5">
        <v>7833</v>
      </c>
      <c r="H162" s="3">
        <v>243</v>
      </c>
      <c r="I162">
        <f>_xlfn.XLOOKUP(Data[[#This Row],[Product]],products[Product],products[Cost per unit])</f>
        <v>11.73</v>
      </c>
      <c r="J162">
        <f>Data[[#This Row],[Cost per unit]]*Data[[#This Row],[Units]]</f>
        <v>2850.3900000000003</v>
      </c>
    </row>
    <row r="163" spans="4:10" x14ac:dyDescent="0.25">
      <c r="D163" t="s">
        <v>26</v>
      </c>
      <c r="E163" t="s">
        <v>17</v>
      </c>
      <c r="F163" t="s">
        <v>41</v>
      </c>
      <c r="G163" s="5">
        <v>7651</v>
      </c>
      <c r="H163" s="3">
        <v>213</v>
      </c>
      <c r="I163">
        <f>_xlfn.XLOOKUP(Data[[#This Row],[Product]],products[Product],products[Cost per unit])</f>
        <v>9</v>
      </c>
      <c r="J163">
        <f>Data[[#This Row],[Cost per unit]]*Data[[#This Row],[Units]]</f>
        <v>1917</v>
      </c>
    </row>
    <row r="164" spans="4:10" x14ac:dyDescent="0.25">
      <c r="D164" t="s">
        <v>5</v>
      </c>
      <c r="E164" t="s">
        <v>9</v>
      </c>
      <c r="F164" t="s">
        <v>7</v>
      </c>
      <c r="G164" s="5">
        <v>2275</v>
      </c>
      <c r="H164" s="3">
        <v>447</v>
      </c>
      <c r="I164">
        <f>_xlfn.XLOOKUP(Data[[#This Row],[Product]],products[Product],products[Cost per unit])</f>
        <v>14.49</v>
      </c>
      <c r="J164">
        <f>Data[[#This Row],[Cost per unit]]*Data[[#This Row],[Units]]</f>
        <v>6477.03</v>
      </c>
    </row>
    <row r="165" spans="4:10" x14ac:dyDescent="0.25">
      <c r="D165" t="s">
        <v>5</v>
      </c>
      <c r="E165" t="s">
        <v>20</v>
      </c>
      <c r="F165" t="s">
        <v>31</v>
      </c>
      <c r="G165" s="5">
        <v>5670</v>
      </c>
      <c r="H165" s="3">
        <v>297</v>
      </c>
      <c r="I165">
        <f>_xlfn.XLOOKUP(Data[[#This Row],[Product]],products[Product],products[Cost per unit])</f>
        <v>9.33</v>
      </c>
      <c r="J165">
        <f>Data[[#This Row],[Cost per unit]]*Data[[#This Row],[Units]]</f>
        <v>2771.01</v>
      </c>
    </row>
    <row r="166" spans="4:10" x14ac:dyDescent="0.25">
      <c r="D166" t="s">
        <v>23</v>
      </c>
      <c r="E166" t="s">
        <v>9</v>
      </c>
      <c r="F166" t="s">
        <v>29</v>
      </c>
      <c r="G166" s="5">
        <v>2135</v>
      </c>
      <c r="H166" s="3">
        <v>27</v>
      </c>
      <c r="I166">
        <f>_xlfn.XLOOKUP(Data[[#This Row],[Product]],products[Product],products[Cost per unit])</f>
        <v>8.7899999999999991</v>
      </c>
      <c r="J166">
        <f>Data[[#This Row],[Cost per unit]]*Data[[#This Row],[Units]]</f>
        <v>237.32999999999998</v>
      </c>
    </row>
    <row r="167" spans="4:10" x14ac:dyDescent="0.25">
      <c r="D167" t="s">
        <v>5</v>
      </c>
      <c r="E167" t="s">
        <v>30</v>
      </c>
      <c r="F167" t="s">
        <v>34</v>
      </c>
      <c r="G167" s="5">
        <v>2779</v>
      </c>
      <c r="H167" s="3">
        <v>75</v>
      </c>
      <c r="I167">
        <f>_xlfn.XLOOKUP(Data[[#This Row],[Product]],products[Product],products[Cost per unit])</f>
        <v>6.49</v>
      </c>
      <c r="J167">
        <f>Data[[#This Row],[Cost per unit]]*Data[[#This Row],[Units]]</f>
        <v>486.75</v>
      </c>
    </row>
    <row r="168" spans="4:10" x14ac:dyDescent="0.25">
      <c r="D168" t="s">
        <v>35</v>
      </c>
      <c r="E168" t="s">
        <v>17</v>
      </c>
      <c r="F168" t="s">
        <v>19</v>
      </c>
      <c r="G168" s="5">
        <v>12950</v>
      </c>
      <c r="H168" s="3">
        <v>30</v>
      </c>
      <c r="I168">
        <f>_xlfn.XLOOKUP(Data[[#This Row],[Product]],products[Product],products[Cost per unit])</f>
        <v>12.37</v>
      </c>
      <c r="J168">
        <f>Data[[#This Row],[Cost per unit]]*Data[[#This Row],[Units]]</f>
        <v>371.09999999999997</v>
      </c>
    </row>
    <row r="169" spans="4:10" x14ac:dyDescent="0.25">
      <c r="D169" t="s">
        <v>23</v>
      </c>
      <c r="E169" t="s">
        <v>14</v>
      </c>
      <c r="F169" t="s">
        <v>15</v>
      </c>
      <c r="G169" s="5">
        <v>2646</v>
      </c>
      <c r="H169" s="3">
        <v>177</v>
      </c>
      <c r="I169">
        <f>_xlfn.XLOOKUP(Data[[#This Row],[Product]],products[Product],products[Cost per unit])</f>
        <v>6.47</v>
      </c>
      <c r="J169">
        <f>Data[[#This Row],[Cost per unit]]*Data[[#This Row],[Units]]</f>
        <v>1145.19</v>
      </c>
    </row>
    <row r="170" spans="4:10" x14ac:dyDescent="0.25">
      <c r="D170" t="s">
        <v>5</v>
      </c>
      <c r="E170" t="s">
        <v>30</v>
      </c>
      <c r="F170" t="s">
        <v>19</v>
      </c>
      <c r="G170" s="5">
        <v>3794</v>
      </c>
      <c r="H170" s="3">
        <v>159</v>
      </c>
      <c r="I170">
        <f>_xlfn.XLOOKUP(Data[[#This Row],[Product]],products[Product],products[Cost per unit])</f>
        <v>12.37</v>
      </c>
      <c r="J170">
        <f>Data[[#This Row],[Cost per unit]]*Data[[#This Row],[Units]]</f>
        <v>1966.83</v>
      </c>
    </row>
    <row r="171" spans="4:10" x14ac:dyDescent="0.25">
      <c r="D171" t="s">
        <v>27</v>
      </c>
      <c r="E171" t="s">
        <v>9</v>
      </c>
      <c r="F171" t="s">
        <v>19</v>
      </c>
      <c r="G171" s="5">
        <v>819</v>
      </c>
      <c r="H171" s="3">
        <v>306</v>
      </c>
      <c r="I171">
        <f>_xlfn.XLOOKUP(Data[[#This Row],[Product]],products[Product],products[Cost per unit])</f>
        <v>12.37</v>
      </c>
      <c r="J171">
        <f>Data[[#This Row],[Cost per unit]]*Data[[#This Row],[Units]]</f>
        <v>3785.22</v>
      </c>
    </row>
    <row r="172" spans="4:10" x14ac:dyDescent="0.25">
      <c r="D172" t="s">
        <v>27</v>
      </c>
      <c r="E172" t="s">
        <v>30</v>
      </c>
      <c r="F172" t="s">
        <v>33</v>
      </c>
      <c r="G172" s="5">
        <v>2583</v>
      </c>
      <c r="H172" s="3">
        <v>18</v>
      </c>
      <c r="I172">
        <f>_xlfn.XLOOKUP(Data[[#This Row],[Product]],products[Product],products[Cost per unit])</f>
        <v>10.62</v>
      </c>
      <c r="J172">
        <f>Data[[#This Row],[Cost per unit]]*Data[[#This Row],[Units]]</f>
        <v>191.16</v>
      </c>
    </row>
    <row r="173" spans="4:10" x14ac:dyDescent="0.25">
      <c r="D173" t="s">
        <v>23</v>
      </c>
      <c r="E173" t="s">
        <v>9</v>
      </c>
      <c r="F173" t="s">
        <v>36</v>
      </c>
      <c r="G173" s="5">
        <v>4585</v>
      </c>
      <c r="H173" s="3">
        <v>240</v>
      </c>
      <c r="I173">
        <f>_xlfn.XLOOKUP(Data[[#This Row],[Product]],products[Product],products[Cost per unit])</f>
        <v>7.64</v>
      </c>
      <c r="J173">
        <f>Data[[#This Row],[Cost per unit]]*Data[[#This Row],[Units]]</f>
        <v>1833.6</v>
      </c>
    </row>
    <row r="174" spans="4:10" x14ac:dyDescent="0.25">
      <c r="D174" t="s">
        <v>25</v>
      </c>
      <c r="E174" t="s">
        <v>30</v>
      </c>
      <c r="F174" t="s">
        <v>19</v>
      </c>
      <c r="G174" s="5">
        <v>1652</v>
      </c>
      <c r="H174" s="3">
        <v>93</v>
      </c>
      <c r="I174">
        <f>_xlfn.XLOOKUP(Data[[#This Row],[Product]],products[Product],products[Cost per unit])</f>
        <v>12.37</v>
      </c>
      <c r="J174">
        <f>Data[[#This Row],[Cost per unit]]*Data[[#This Row],[Units]]</f>
        <v>1150.4099999999999</v>
      </c>
    </row>
    <row r="175" spans="4:10" x14ac:dyDescent="0.25">
      <c r="D175" t="s">
        <v>35</v>
      </c>
      <c r="E175" t="s">
        <v>30</v>
      </c>
      <c r="F175" t="s">
        <v>42</v>
      </c>
      <c r="G175" s="5">
        <v>4991</v>
      </c>
      <c r="H175" s="3">
        <v>9</v>
      </c>
      <c r="I175">
        <f>_xlfn.XLOOKUP(Data[[#This Row],[Product]],products[Product],products[Cost per unit])</f>
        <v>5.6</v>
      </c>
      <c r="J175">
        <f>Data[[#This Row],[Cost per unit]]*Data[[#This Row],[Units]]</f>
        <v>50.4</v>
      </c>
    </row>
    <row r="176" spans="4:10" x14ac:dyDescent="0.25">
      <c r="D176" t="s">
        <v>8</v>
      </c>
      <c r="E176" t="s">
        <v>30</v>
      </c>
      <c r="F176" t="s">
        <v>29</v>
      </c>
      <c r="G176" s="5">
        <v>2009</v>
      </c>
      <c r="H176" s="3">
        <v>219</v>
      </c>
      <c r="I176">
        <f>_xlfn.XLOOKUP(Data[[#This Row],[Product]],products[Product],products[Cost per unit])</f>
        <v>8.7899999999999991</v>
      </c>
      <c r="J176">
        <f>Data[[#This Row],[Cost per unit]]*Data[[#This Row],[Units]]</f>
        <v>1925.0099999999998</v>
      </c>
    </row>
    <row r="177" spans="4:10" x14ac:dyDescent="0.25">
      <c r="D177" t="s">
        <v>26</v>
      </c>
      <c r="E177" t="s">
        <v>17</v>
      </c>
      <c r="F177" t="s">
        <v>22</v>
      </c>
      <c r="G177" s="5">
        <v>1568</v>
      </c>
      <c r="H177" s="3">
        <v>141</v>
      </c>
      <c r="I177">
        <f>_xlfn.XLOOKUP(Data[[#This Row],[Product]],products[Product],products[Cost per unit])</f>
        <v>9.77</v>
      </c>
      <c r="J177">
        <f>Data[[#This Row],[Cost per unit]]*Data[[#This Row],[Units]]</f>
        <v>1377.57</v>
      </c>
    </row>
    <row r="178" spans="4:10" x14ac:dyDescent="0.25">
      <c r="D178" t="s">
        <v>13</v>
      </c>
      <c r="E178" t="s">
        <v>6</v>
      </c>
      <c r="F178" t="s">
        <v>33</v>
      </c>
      <c r="G178" s="5">
        <v>3388</v>
      </c>
      <c r="H178" s="3">
        <v>123</v>
      </c>
      <c r="I178">
        <f>_xlfn.XLOOKUP(Data[[#This Row],[Product]],products[Product],products[Cost per unit])</f>
        <v>10.62</v>
      </c>
      <c r="J178">
        <f>Data[[#This Row],[Cost per unit]]*Data[[#This Row],[Units]]</f>
        <v>1306.26</v>
      </c>
    </row>
    <row r="179" spans="4:10" x14ac:dyDescent="0.25">
      <c r="D179" t="s">
        <v>5</v>
      </c>
      <c r="E179" t="s">
        <v>20</v>
      </c>
      <c r="F179" t="s">
        <v>38</v>
      </c>
      <c r="G179" s="5">
        <v>623</v>
      </c>
      <c r="H179" s="3">
        <v>51</v>
      </c>
      <c r="I179">
        <f>_xlfn.XLOOKUP(Data[[#This Row],[Product]],products[Product],products[Cost per unit])</f>
        <v>4.97</v>
      </c>
      <c r="J179">
        <f>Data[[#This Row],[Cost per unit]]*Data[[#This Row],[Units]]</f>
        <v>253.47</v>
      </c>
    </row>
    <row r="180" spans="4:10" x14ac:dyDescent="0.25">
      <c r="D180" t="s">
        <v>16</v>
      </c>
      <c r="E180" t="s">
        <v>14</v>
      </c>
      <c r="F180" t="s">
        <v>12</v>
      </c>
      <c r="G180" s="5">
        <v>10073</v>
      </c>
      <c r="H180" s="3">
        <v>120</v>
      </c>
      <c r="I180">
        <f>_xlfn.XLOOKUP(Data[[#This Row],[Product]],products[Product],products[Cost per unit])</f>
        <v>11.88</v>
      </c>
      <c r="J180">
        <f>Data[[#This Row],[Cost per unit]]*Data[[#This Row],[Units]]</f>
        <v>1425.6000000000001</v>
      </c>
    </row>
    <row r="181" spans="4:10" x14ac:dyDescent="0.25">
      <c r="D181" t="s">
        <v>8</v>
      </c>
      <c r="E181" t="s">
        <v>17</v>
      </c>
      <c r="F181" t="s">
        <v>42</v>
      </c>
      <c r="G181" s="5">
        <v>1561</v>
      </c>
      <c r="H181" s="3">
        <v>27</v>
      </c>
      <c r="I181">
        <f>_xlfn.XLOOKUP(Data[[#This Row],[Product]],products[Product],products[Cost per unit])</f>
        <v>5.6</v>
      </c>
      <c r="J181">
        <f>Data[[#This Row],[Cost per unit]]*Data[[#This Row],[Units]]</f>
        <v>151.19999999999999</v>
      </c>
    </row>
    <row r="182" spans="4:10" x14ac:dyDescent="0.25">
      <c r="D182" t="s">
        <v>11</v>
      </c>
      <c r="E182" t="s">
        <v>14</v>
      </c>
      <c r="F182" t="s">
        <v>39</v>
      </c>
      <c r="G182" s="5">
        <v>11522</v>
      </c>
      <c r="H182" s="3">
        <v>204</v>
      </c>
      <c r="I182">
        <f>_xlfn.XLOOKUP(Data[[#This Row],[Product]],products[Product],products[Cost per unit])</f>
        <v>16.73</v>
      </c>
      <c r="J182">
        <f>Data[[#This Row],[Cost per unit]]*Data[[#This Row],[Units]]</f>
        <v>3412.92</v>
      </c>
    </row>
    <row r="183" spans="4:10" x14ac:dyDescent="0.25">
      <c r="D183" t="s">
        <v>16</v>
      </c>
      <c r="E183" t="s">
        <v>20</v>
      </c>
      <c r="F183" t="s">
        <v>31</v>
      </c>
      <c r="G183" s="5">
        <v>2317</v>
      </c>
      <c r="H183" s="3">
        <v>123</v>
      </c>
      <c r="I183">
        <f>_xlfn.XLOOKUP(Data[[#This Row],[Product]],products[Product],products[Cost per unit])</f>
        <v>9.33</v>
      </c>
      <c r="J183">
        <f>Data[[#This Row],[Cost per unit]]*Data[[#This Row],[Units]]</f>
        <v>1147.5899999999999</v>
      </c>
    </row>
    <row r="184" spans="4:10" x14ac:dyDescent="0.25">
      <c r="D184" t="s">
        <v>35</v>
      </c>
      <c r="E184" t="s">
        <v>6</v>
      </c>
      <c r="F184" t="s">
        <v>40</v>
      </c>
      <c r="G184" s="5">
        <v>3059</v>
      </c>
      <c r="H184" s="3">
        <v>27</v>
      </c>
      <c r="I184">
        <f>_xlfn.XLOOKUP(Data[[#This Row],[Product]],products[Product],products[Cost per unit])</f>
        <v>10.38</v>
      </c>
      <c r="J184">
        <f>Data[[#This Row],[Cost per unit]]*Data[[#This Row],[Units]]</f>
        <v>280.26000000000005</v>
      </c>
    </row>
    <row r="185" spans="4:10" x14ac:dyDescent="0.25">
      <c r="D185" t="s">
        <v>13</v>
      </c>
      <c r="E185" t="s">
        <v>6</v>
      </c>
      <c r="F185" t="s">
        <v>42</v>
      </c>
      <c r="G185" s="5">
        <v>2324</v>
      </c>
      <c r="H185" s="3">
        <v>177</v>
      </c>
      <c r="I185">
        <f>_xlfn.XLOOKUP(Data[[#This Row],[Product]],products[Product],products[Cost per unit])</f>
        <v>5.6</v>
      </c>
      <c r="J185">
        <f>Data[[#This Row],[Cost per unit]]*Data[[#This Row],[Units]]</f>
        <v>991.19999999999993</v>
      </c>
    </row>
    <row r="186" spans="4:10" x14ac:dyDescent="0.25">
      <c r="D186" t="s">
        <v>27</v>
      </c>
      <c r="E186" t="s">
        <v>17</v>
      </c>
      <c r="F186" t="s">
        <v>42</v>
      </c>
      <c r="G186" s="5">
        <v>4956</v>
      </c>
      <c r="H186" s="3">
        <v>171</v>
      </c>
      <c r="I186">
        <f>_xlfn.XLOOKUP(Data[[#This Row],[Product]],products[Product],products[Cost per unit])</f>
        <v>5.6</v>
      </c>
      <c r="J186">
        <f>Data[[#This Row],[Cost per unit]]*Data[[#This Row],[Units]]</f>
        <v>957.59999999999991</v>
      </c>
    </row>
    <row r="187" spans="4:10" x14ac:dyDescent="0.25">
      <c r="D187" t="s">
        <v>35</v>
      </c>
      <c r="E187" t="s">
        <v>30</v>
      </c>
      <c r="F187" t="s">
        <v>36</v>
      </c>
      <c r="G187" s="5">
        <v>5355</v>
      </c>
      <c r="H187" s="3">
        <v>204</v>
      </c>
      <c r="I187">
        <f>_xlfn.XLOOKUP(Data[[#This Row],[Product]],products[Product],products[Cost per unit])</f>
        <v>7.64</v>
      </c>
      <c r="J187">
        <f>Data[[#This Row],[Cost per unit]]*Data[[#This Row],[Units]]</f>
        <v>1558.56</v>
      </c>
    </row>
    <row r="188" spans="4:10" x14ac:dyDescent="0.25">
      <c r="D188" t="s">
        <v>27</v>
      </c>
      <c r="E188" t="s">
        <v>30</v>
      </c>
      <c r="F188" t="s">
        <v>24</v>
      </c>
      <c r="G188" s="5">
        <v>7259</v>
      </c>
      <c r="H188" s="3">
        <v>276</v>
      </c>
      <c r="I188">
        <f>_xlfn.XLOOKUP(Data[[#This Row],[Product]],products[Product],products[Cost per unit])</f>
        <v>11.7</v>
      </c>
      <c r="J188">
        <f>Data[[#This Row],[Cost per unit]]*Data[[#This Row],[Units]]</f>
        <v>3229.2</v>
      </c>
    </row>
    <row r="189" spans="4:10" x14ac:dyDescent="0.25">
      <c r="D189" t="s">
        <v>8</v>
      </c>
      <c r="E189" t="s">
        <v>6</v>
      </c>
      <c r="F189" t="s">
        <v>42</v>
      </c>
      <c r="G189" s="5">
        <v>6279</v>
      </c>
      <c r="H189" s="3">
        <v>45</v>
      </c>
      <c r="I189">
        <f>_xlfn.XLOOKUP(Data[[#This Row],[Product]],products[Product],products[Cost per unit])</f>
        <v>5.6</v>
      </c>
      <c r="J189">
        <f>Data[[#This Row],[Cost per unit]]*Data[[#This Row],[Units]]</f>
        <v>251.99999999999997</v>
      </c>
    </row>
    <row r="190" spans="4:10" x14ac:dyDescent="0.25">
      <c r="D190" t="s">
        <v>5</v>
      </c>
      <c r="E190" t="s">
        <v>20</v>
      </c>
      <c r="F190" t="s">
        <v>32</v>
      </c>
      <c r="G190" s="5">
        <v>2541</v>
      </c>
      <c r="H190" s="3">
        <v>45</v>
      </c>
      <c r="I190">
        <f>_xlfn.XLOOKUP(Data[[#This Row],[Product]],products[Product],products[Cost per unit])</f>
        <v>7.16</v>
      </c>
      <c r="J190">
        <f>Data[[#This Row],[Cost per unit]]*Data[[#This Row],[Units]]</f>
        <v>322.2</v>
      </c>
    </row>
    <row r="191" spans="4:10" x14ac:dyDescent="0.25">
      <c r="D191" t="s">
        <v>16</v>
      </c>
      <c r="E191" t="s">
        <v>9</v>
      </c>
      <c r="F191" t="s">
        <v>39</v>
      </c>
      <c r="G191" s="5">
        <v>3864</v>
      </c>
      <c r="H191" s="3">
        <v>177</v>
      </c>
      <c r="I191">
        <f>_xlfn.XLOOKUP(Data[[#This Row],[Product]],products[Product],products[Cost per unit])</f>
        <v>16.73</v>
      </c>
      <c r="J191">
        <f>Data[[#This Row],[Cost per unit]]*Data[[#This Row],[Units]]</f>
        <v>2961.21</v>
      </c>
    </row>
    <row r="192" spans="4:10" x14ac:dyDescent="0.25">
      <c r="D192" t="s">
        <v>25</v>
      </c>
      <c r="E192" t="s">
        <v>14</v>
      </c>
      <c r="F192" t="s">
        <v>31</v>
      </c>
      <c r="G192" s="5">
        <v>6146</v>
      </c>
      <c r="H192" s="3">
        <v>63</v>
      </c>
      <c r="I192">
        <f>_xlfn.XLOOKUP(Data[[#This Row],[Product]],products[Product],products[Cost per unit])</f>
        <v>9.33</v>
      </c>
      <c r="J192">
        <f>Data[[#This Row],[Cost per unit]]*Data[[#This Row],[Units]]</f>
        <v>587.79</v>
      </c>
    </row>
    <row r="193" spans="4:10" x14ac:dyDescent="0.25">
      <c r="D193" t="s">
        <v>11</v>
      </c>
      <c r="E193" t="s">
        <v>17</v>
      </c>
      <c r="F193" t="s">
        <v>15</v>
      </c>
      <c r="G193" s="5">
        <v>2639</v>
      </c>
      <c r="H193" s="3">
        <v>204</v>
      </c>
      <c r="I193">
        <f>_xlfn.XLOOKUP(Data[[#This Row],[Product]],products[Product],products[Cost per unit])</f>
        <v>6.47</v>
      </c>
      <c r="J193">
        <f>Data[[#This Row],[Cost per unit]]*Data[[#This Row],[Units]]</f>
        <v>1319.8799999999999</v>
      </c>
    </row>
    <row r="194" spans="4:10" x14ac:dyDescent="0.25">
      <c r="D194" t="s">
        <v>8</v>
      </c>
      <c r="E194" t="s">
        <v>6</v>
      </c>
      <c r="F194" t="s">
        <v>22</v>
      </c>
      <c r="G194" s="5">
        <v>1890</v>
      </c>
      <c r="H194" s="3">
        <v>195</v>
      </c>
      <c r="I194">
        <f>_xlfn.XLOOKUP(Data[[#This Row],[Product]],products[Product],products[Cost per unit])</f>
        <v>9.77</v>
      </c>
      <c r="J194">
        <f>Data[[#This Row],[Cost per unit]]*Data[[#This Row],[Units]]</f>
        <v>1905.1499999999999</v>
      </c>
    </row>
    <row r="195" spans="4:10" x14ac:dyDescent="0.25">
      <c r="D195" t="s">
        <v>23</v>
      </c>
      <c r="E195" t="s">
        <v>30</v>
      </c>
      <c r="F195" t="s">
        <v>24</v>
      </c>
      <c r="G195" s="5">
        <v>1932</v>
      </c>
      <c r="H195" s="3">
        <v>369</v>
      </c>
      <c r="I195">
        <f>_xlfn.XLOOKUP(Data[[#This Row],[Product]],products[Product],products[Cost per unit])</f>
        <v>11.7</v>
      </c>
      <c r="J195">
        <f>Data[[#This Row],[Cost per unit]]*Data[[#This Row],[Units]]</f>
        <v>4317.3</v>
      </c>
    </row>
    <row r="196" spans="4:10" x14ac:dyDescent="0.25">
      <c r="D196" t="s">
        <v>27</v>
      </c>
      <c r="E196" t="s">
        <v>30</v>
      </c>
      <c r="F196" t="s">
        <v>18</v>
      </c>
      <c r="G196" s="5">
        <v>6300</v>
      </c>
      <c r="H196" s="3">
        <v>42</v>
      </c>
      <c r="I196">
        <f>_xlfn.XLOOKUP(Data[[#This Row],[Product]],products[Product],products[Cost per unit])</f>
        <v>13.15</v>
      </c>
      <c r="J196">
        <f>Data[[#This Row],[Cost per unit]]*Data[[#This Row],[Units]]</f>
        <v>552.30000000000007</v>
      </c>
    </row>
    <row r="197" spans="4:10" x14ac:dyDescent="0.25">
      <c r="D197" t="s">
        <v>16</v>
      </c>
      <c r="E197" t="s">
        <v>6</v>
      </c>
      <c r="F197" t="s">
        <v>7</v>
      </c>
      <c r="G197" s="5">
        <v>560</v>
      </c>
      <c r="H197" s="3">
        <v>81</v>
      </c>
      <c r="I197">
        <f>_xlfn.XLOOKUP(Data[[#This Row],[Product]],products[Product],products[Cost per unit])</f>
        <v>14.49</v>
      </c>
      <c r="J197">
        <f>Data[[#This Row],[Cost per unit]]*Data[[#This Row],[Units]]</f>
        <v>1173.69</v>
      </c>
    </row>
    <row r="198" spans="4:10" x14ac:dyDescent="0.25">
      <c r="D198" t="s">
        <v>11</v>
      </c>
      <c r="E198" t="s">
        <v>6</v>
      </c>
      <c r="F198" t="s">
        <v>42</v>
      </c>
      <c r="G198" s="5">
        <v>2856</v>
      </c>
      <c r="H198" s="3">
        <v>246</v>
      </c>
      <c r="I198">
        <f>_xlfn.XLOOKUP(Data[[#This Row],[Product]],products[Product],products[Cost per unit])</f>
        <v>5.6</v>
      </c>
      <c r="J198">
        <f>Data[[#This Row],[Cost per unit]]*Data[[#This Row],[Units]]</f>
        <v>1377.6</v>
      </c>
    </row>
    <row r="199" spans="4:10" x14ac:dyDescent="0.25">
      <c r="D199" t="s">
        <v>11</v>
      </c>
      <c r="E199" t="s">
        <v>30</v>
      </c>
      <c r="F199" t="s">
        <v>28</v>
      </c>
      <c r="G199" s="5">
        <v>707</v>
      </c>
      <c r="H199" s="3">
        <v>174</v>
      </c>
      <c r="I199">
        <f>_xlfn.XLOOKUP(Data[[#This Row],[Product]],products[Product],products[Cost per unit])</f>
        <v>3.11</v>
      </c>
      <c r="J199">
        <f>Data[[#This Row],[Cost per unit]]*Data[[#This Row],[Units]]</f>
        <v>541.14</v>
      </c>
    </row>
    <row r="200" spans="4:10" x14ac:dyDescent="0.25">
      <c r="D200" t="s">
        <v>8</v>
      </c>
      <c r="E200" t="s">
        <v>9</v>
      </c>
      <c r="F200" t="s">
        <v>7</v>
      </c>
      <c r="G200" s="5">
        <v>3598</v>
      </c>
      <c r="H200" s="3">
        <v>81</v>
      </c>
      <c r="I200">
        <f>_xlfn.XLOOKUP(Data[[#This Row],[Product]],products[Product],products[Cost per unit])</f>
        <v>14.49</v>
      </c>
      <c r="J200">
        <f>Data[[#This Row],[Cost per unit]]*Data[[#This Row],[Units]]</f>
        <v>1173.69</v>
      </c>
    </row>
    <row r="201" spans="4:10" x14ac:dyDescent="0.25">
      <c r="D201" t="s">
        <v>5</v>
      </c>
      <c r="E201" t="s">
        <v>9</v>
      </c>
      <c r="F201" t="s">
        <v>22</v>
      </c>
      <c r="G201" s="5">
        <v>6853</v>
      </c>
      <c r="H201" s="3">
        <v>372</v>
      </c>
      <c r="I201">
        <f>_xlfn.XLOOKUP(Data[[#This Row],[Product]],products[Product],products[Cost per unit])</f>
        <v>9.77</v>
      </c>
      <c r="J201">
        <f>Data[[#This Row],[Cost per unit]]*Data[[#This Row],[Units]]</f>
        <v>3634.44</v>
      </c>
    </row>
    <row r="202" spans="4:10" x14ac:dyDescent="0.25">
      <c r="D202" t="s">
        <v>5</v>
      </c>
      <c r="E202" t="s">
        <v>9</v>
      </c>
      <c r="F202" t="s">
        <v>29</v>
      </c>
      <c r="G202" s="5">
        <v>4725</v>
      </c>
      <c r="H202" s="3">
        <v>174</v>
      </c>
      <c r="I202">
        <f>_xlfn.XLOOKUP(Data[[#This Row],[Product]],products[Product],products[Cost per unit])</f>
        <v>8.7899999999999991</v>
      </c>
      <c r="J202">
        <f>Data[[#This Row],[Cost per unit]]*Data[[#This Row],[Units]]</f>
        <v>1529.4599999999998</v>
      </c>
    </row>
    <row r="203" spans="4:10" x14ac:dyDescent="0.25">
      <c r="D203" t="s">
        <v>13</v>
      </c>
      <c r="E203" t="s">
        <v>14</v>
      </c>
      <c r="F203" t="s">
        <v>10</v>
      </c>
      <c r="G203" s="5">
        <v>10304</v>
      </c>
      <c r="H203" s="3">
        <v>84</v>
      </c>
      <c r="I203">
        <f>_xlfn.XLOOKUP(Data[[#This Row],[Product]],products[Product],products[Cost per unit])</f>
        <v>8.65</v>
      </c>
      <c r="J203">
        <f>Data[[#This Row],[Cost per unit]]*Data[[#This Row],[Units]]</f>
        <v>726.6</v>
      </c>
    </row>
    <row r="204" spans="4:10" x14ac:dyDescent="0.25">
      <c r="D204" t="s">
        <v>13</v>
      </c>
      <c r="E204" t="s">
        <v>30</v>
      </c>
      <c r="F204" t="s">
        <v>29</v>
      </c>
      <c r="G204" s="5">
        <v>1274</v>
      </c>
      <c r="H204" s="3">
        <v>225</v>
      </c>
      <c r="I204">
        <f>_xlfn.XLOOKUP(Data[[#This Row],[Product]],products[Product],products[Cost per unit])</f>
        <v>8.7899999999999991</v>
      </c>
      <c r="J204">
        <f>Data[[#This Row],[Cost per unit]]*Data[[#This Row],[Units]]</f>
        <v>1977.7499999999998</v>
      </c>
    </row>
    <row r="205" spans="4:10" x14ac:dyDescent="0.25">
      <c r="D205" t="s">
        <v>25</v>
      </c>
      <c r="E205" t="s">
        <v>14</v>
      </c>
      <c r="F205" t="s">
        <v>7</v>
      </c>
      <c r="G205" s="5">
        <v>1526</v>
      </c>
      <c r="H205" s="3">
        <v>105</v>
      </c>
      <c r="I205">
        <f>_xlfn.XLOOKUP(Data[[#This Row],[Product]],products[Product],products[Cost per unit])</f>
        <v>14.49</v>
      </c>
      <c r="J205">
        <f>Data[[#This Row],[Cost per unit]]*Data[[#This Row],[Units]]</f>
        <v>1521.45</v>
      </c>
    </row>
    <row r="206" spans="4:10" x14ac:dyDescent="0.25">
      <c r="D206" t="s">
        <v>5</v>
      </c>
      <c r="E206" t="s">
        <v>17</v>
      </c>
      <c r="F206" t="s">
        <v>40</v>
      </c>
      <c r="G206" s="5">
        <v>3101</v>
      </c>
      <c r="H206" s="3">
        <v>225</v>
      </c>
      <c r="I206">
        <f>_xlfn.XLOOKUP(Data[[#This Row],[Product]],products[Product],products[Cost per unit])</f>
        <v>10.38</v>
      </c>
      <c r="J206">
        <f>Data[[#This Row],[Cost per unit]]*Data[[#This Row],[Units]]</f>
        <v>2335.5</v>
      </c>
    </row>
    <row r="207" spans="4:10" x14ac:dyDescent="0.25">
      <c r="D207" t="s">
        <v>26</v>
      </c>
      <c r="E207" t="s">
        <v>6</v>
      </c>
      <c r="F207" t="s">
        <v>24</v>
      </c>
      <c r="G207" s="5">
        <v>1057</v>
      </c>
      <c r="H207" s="3">
        <v>54</v>
      </c>
      <c r="I207">
        <f>_xlfn.XLOOKUP(Data[[#This Row],[Product]],products[Product],products[Cost per unit])</f>
        <v>11.7</v>
      </c>
      <c r="J207">
        <f>Data[[#This Row],[Cost per unit]]*Data[[#This Row],[Units]]</f>
        <v>631.79999999999995</v>
      </c>
    </row>
    <row r="208" spans="4:10" x14ac:dyDescent="0.25">
      <c r="D208" t="s">
        <v>23</v>
      </c>
      <c r="E208" t="s">
        <v>6</v>
      </c>
      <c r="F208" t="s">
        <v>42</v>
      </c>
      <c r="G208" s="5">
        <v>5306</v>
      </c>
      <c r="H208" s="3">
        <v>0</v>
      </c>
      <c r="I208">
        <f>_xlfn.XLOOKUP(Data[[#This Row],[Product]],products[Product],products[Cost per unit])</f>
        <v>5.6</v>
      </c>
      <c r="J208">
        <f>Data[[#This Row],[Cost per unit]]*Data[[#This Row],[Units]]</f>
        <v>0</v>
      </c>
    </row>
    <row r="209" spans="4:10" x14ac:dyDescent="0.25">
      <c r="D209" t="s">
        <v>25</v>
      </c>
      <c r="E209" t="s">
        <v>17</v>
      </c>
      <c r="F209" t="s">
        <v>38</v>
      </c>
      <c r="G209" s="5">
        <v>4018</v>
      </c>
      <c r="H209" s="3">
        <v>171</v>
      </c>
      <c r="I209">
        <f>_xlfn.XLOOKUP(Data[[#This Row],[Product]],products[Product],products[Cost per unit])</f>
        <v>4.97</v>
      </c>
      <c r="J209">
        <f>Data[[#This Row],[Cost per unit]]*Data[[#This Row],[Units]]</f>
        <v>849.87</v>
      </c>
    </row>
    <row r="210" spans="4:10" x14ac:dyDescent="0.25">
      <c r="D210" t="s">
        <v>11</v>
      </c>
      <c r="E210" t="s">
        <v>30</v>
      </c>
      <c r="F210" t="s">
        <v>29</v>
      </c>
      <c r="G210" s="5">
        <v>938</v>
      </c>
      <c r="H210" s="3">
        <v>189</v>
      </c>
      <c r="I210">
        <f>_xlfn.XLOOKUP(Data[[#This Row],[Product]],products[Product],products[Cost per unit])</f>
        <v>8.7899999999999991</v>
      </c>
      <c r="J210">
        <f>Data[[#This Row],[Cost per unit]]*Data[[#This Row],[Units]]</f>
        <v>1661.31</v>
      </c>
    </row>
    <row r="211" spans="4:10" x14ac:dyDescent="0.25">
      <c r="D211" t="s">
        <v>23</v>
      </c>
      <c r="E211" t="s">
        <v>20</v>
      </c>
      <c r="F211" t="s">
        <v>15</v>
      </c>
      <c r="G211" s="5">
        <v>1778</v>
      </c>
      <c r="H211" s="3">
        <v>270</v>
      </c>
      <c r="I211">
        <f>_xlfn.XLOOKUP(Data[[#This Row],[Product]],products[Product],products[Cost per unit])</f>
        <v>6.47</v>
      </c>
      <c r="J211">
        <f>Data[[#This Row],[Cost per unit]]*Data[[#This Row],[Units]]</f>
        <v>1746.8999999999999</v>
      </c>
    </row>
    <row r="212" spans="4:10" x14ac:dyDescent="0.25">
      <c r="D212" t="s">
        <v>16</v>
      </c>
      <c r="E212" t="s">
        <v>17</v>
      </c>
      <c r="F212" t="s">
        <v>7</v>
      </c>
      <c r="G212" s="5">
        <v>1638</v>
      </c>
      <c r="H212" s="3">
        <v>63</v>
      </c>
      <c r="I212">
        <f>_xlfn.XLOOKUP(Data[[#This Row],[Product]],products[Product],products[Cost per unit])</f>
        <v>14.49</v>
      </c>
      <c r="J212">
        <f>Data[[#This Row],[Cost per unit]]*Data[[#This Row],[Units]]</f>
        <v>912.87</v>
      </c>
    </row>
    <row r="213" spans="4:10" x14ac:dyDescent="0.25">
      <c r="D213" t="s">
        <v>13</v>
      </c>
      <c r="E213" t="s">
        <v>20</v>
      </c>
      <c r="F213" t="s">
        <v>18</v>
      </c>
      <c r="G213" s="5">
        <v>154</v>
      </c>
      <c r="H213" s="3">
        <v>21</v>
      </c>
      <c r="I213">
        <f>_xlfn.XLOOKUP(Data[[#This Row],[Product]],products[Product],products[Cost per unit])</f>
        <v>13.15</v>
      </c>
      <c r="J213">
        <f>Data[[#This Row],[Cost per unit]]*Data[[#This Row],[Units]]</f>
        <v>276.15000000000003</v>
      </c>
    </row>
    <row r="214" spans="4:10" x14ac:dyDescent="0.25">
      <c r="D214" t="s">
        <v>23</v>
      </c>
      <c r="E214" t="s">
        <v>6</v>
      </c>
      <c r="F214" t="s">
        <v>22</v>
      </c>
      <c r="G214" s="5">
        <v>9835</v>
      </c>
      <c r="H214" s="3">
        <v>207</v>
      </c>
      <c r="I214">
        <f>_xlfn.XLOOKUP(Data[[#This Row],[Product]],products[Product],products[Cost per unit])</f>
        <v>9.77</v>
      </c>
      <c r="J214">
        <f>Data[[#This Row],[Cost per unit]]*Data[[#This Row],[Units]]</f>
        <v>2022.3899999999999</v>
      </c>
    </row>
    <row r="215" spans="4:10" x14ac:dyDescent="0.25">
      <c r="D215" t="s">
        <v>11</v>
      </c>
      <c r="E215" t="s">
        <v>6</v>
      </c>
      <c r="F215" t="s">
        <v>33</v>
      </c>
      <c r="G215" s="5">
        <v>7273</v>
      </c>
      <c r="H215" s="3">
        <v>96</v>
      </c>
      <c r="I215">
        <f>_xlfn.XLOOKUP(Data[[#This Row],[Product]],products[Product],products[Cost per unit])</f>
        <v>10.62</v>
      </c>
      <c r="J215">
        <f>Data[[#This Row],[Cost per unit]]*Data[[#This Row],[Units]]</f>
        <v>1019.52</v>
      </c>
    </row>
    <row r="216" spans="4:10" x14ac:dyDescent="0.25">
      <c r="D216" t="s">
        <v>25</v>
      </c>
      <c r="E216" t="s">
        <v>17</v>
      </c>
      <c r="F216" t="s">
        <v>22</v>
      </c>
      <c r="G216" s="5">
        <v>6909</v>
      </c>
      <c r="H216" s="3">
        <v>81</v>
      </c>
      <c r="I216">
        <f>_xlfn.XLOOKUP(Data[[#This Row],[Product]],products[Product],products[Cost per unit])</f>
        <v>9.77</v>
      </c>
      <c r="J216">
        <f>Data[[#This Row],[Cost per unit]]*Data[[#This Row],[Units]]</f>
        <v>791.37</v>
      </c>
    </row>
    <row r="217" spans="4:10" x14ac:dyDescent="0.25">
      <c r="D217" t="s">
        <v>11</v>
      </c>
      <c r="E217" t="s">
        <v>17</v>
      </c>
      <c r="F217" t="s">
        <v>38</v>
      </c>
      <c r="G217" s="5">
        <v>3920</v>
      </c>
      <c r="H217" s="3">
        <v>306</v>
      </c>
      <c r="I217">
        <f>_xlfn.XLOOKUP(Data[[#This Row],[Product]],products[Product],products[Cost per unit])</f>
        <v>4.97</v>
      </c>
      <c r="J217">
        <f>Data[[#This Row],[Cost per unit]]*Data[[#This Row],[Units]]</f>
        <v>1520.82</v>
      </c>
    </row>
    <row r="218" spans="4:10" x14ac:dyDescent="0.25">
      <c r="D218" t="s">
        <v>35</v>
      </c>
      <c r="E218" t="s">
        <v>17</v>
      </c>
      <c r="F218" t="s">
        <v>41</v>
      </c>
      <c r="G218" s="5">
        <v>4858</v>
      </c>
      <c r="H218" s="3">
        <v>279</v>
      </c>
      <c r="I218">
        <f>_xlfn.XLOOKUP(Data[[#This Row],[Product]],products[Product],products[Cost per unit])</f>
        <v>9</v>
      </c>
      <c r="J218">
        <f>Data[[#This Row],[Cost per unit]]*Data[[#This Row],[Units]]</f>
        <v>2511</v>
      </c>
    </row>
    <row r="219" spans="4:10" x14ac:dyDescent="0.25">
      <c r="D219" t="s">
        <v>26</v>
      </c>
      <c r="E219" t="s">
        <v>20</v>
      </c>
      <c r="F219" t="s">
        <v>12</v>
      </c>
      <c r="G219" s="5">
        <v>3549</v>
      </c>
      <c r="H219" s="3">
        <v>3</v>
      </c>
      <c r="I219">
        <f>_xlfn.XLOOKUP(Data[[#This Row],[Product]],products[Product],products[Cost per unit])</f>
        <v>11.88</v>
      </c>
      <c r="J219">
        <f>Data[[#This Row],[Cost per unit]]*Data[[#This Row],[Units]]</f>
        <v>35.64</v>
      </c>
    </row>
    <row r="220" spans="4:10" x14ac:dyDescent="0.25">
      <c r="D220" t="s">
        <v>23</v>
      </c>
      <c r="E220" t="s">
        <v>17</v>
      </c>
      <c r="F220" t="s">
        <v>39</v>
      </c>
      <c r="G220" s="5">
        <v>966</v>
      </c>
      <c r="H220" s="3">
        <v>198</v>
      </c>
      <c r="I220">
        <f>_xlfn.XLOOKUP(Data[[#This Row],[Product]],products[Product],products[Cost per unit])</f>
        <v>16.73</v>
      </c>
      <c r="J220">
        <f>Data[[#This Row],[Cost per unit]]*Data[[#This Row],[Units]]</f>
        <v>3312.54</v>
      </c>
    </row>
    <row r="221" spans="4:10" x14ac:dyDescent="0.25">
      <c r="D221" t="s">
        <v>25</v>
      </c>
      <c r="E221" t="s">
        <v>17</v>
      </c>
      <c r="F221" t="s">
        <v>15</v>
      </c>
      <c r="G221" s="5">
        <v>385</v>
      </c>
      <c r="H221" s="3">
        <v>249</v>
      </c>
      <c r="I221">
        <f>_xlfn.XLOOKUP(Data[[#This Row],[Product]],products[Product],products[Cost per unit])</f>
        <v>6.47</v>
      </c>
      <c r="J221">
        <f>Data[[#This Row],[Cost per unit]]*Data[[#This Row],[Units]]</f>
        <v>1611.03</v>
      </c>
    </row>
    <row r="222" spans="4:10" x14ac:dyDescent="0.25">
      <c r="D222" t="s">
        <v>16</v>
      </c>
      <c r="E222" t="s">
        <v>30</v>
      </c>
      <c r="F222" t="s">
        <v>29</v>
      </c>
      <c r="G222" s="5">
        <v>2219</v>
      </c>
      <c r="H222" s="3">
        <v>75</v>
      </c>
      <c r="I222">
        <f>_xlfn.XLOOKUP(Data[[#This Row],[Product]],products[Product],products[Cost per unit])</f>
        <v>8.7899999999999991</v>
      </c>
      <c r="J222">
        <f>Data[[#This Row],[Cost per unit]]*Data[[#This Row],[Units]]</f>
        <v>659.24999999999989</v>
      </c>
    </row>
    <row r="223" spans="4:10" x14ac:dyDescent="0.25">
      <c r="D223" t="s">
        <v>11</v>
      </c>
      <c r="E223" t="s">
        <v>14</v>
      </c>
      <c r="F223" t="s">
        <v>10</v>
      </c>
      <c r="G223" s="5">
        <v>2954</v>
      </c>
      <c r="H223" s="3">
        <v>189</v>
      </c>
      <c r="I223">
        <f>_xlfn.XLOOKUP(Data[[#This Row],[Product]],products[Product],products[Cost per unit])</f>
        <v>8.65</v>
      </c>
      <c r="J223">
        <f>Data[[#This Row],[Cost per unit]]*Data[[#This Row],[Units]]</f>
        <v>1634.8500000000001</v>
      </c>
    </row>
    <row r="224" spans="4:10" x14ac:dyDescent="0.25">
      <c r="D224" t="s">
        <v>23</v>
      </c>
      <c r="E224" t="s">
        <v>14</v>
      </c>
      <c r="F224" t="s">
        <v>10</v>
      </c>
      <c r="G224" s="5">
        <v>280</v>
      </c>
      <c r="H224" s="3">
        <v>87</v>
      </c>
      <c r="I224">
        <f>_xlfn.XLOOKUP(Data[[#This Row],[Product]],products[Product],products[Cost per unit])</f>
        <v>8.65</v>
      </c>
      <c r="J224">
        <f>Data[[#This Row],[Cost per unit]]*Data[[#This Row],[Units]]</f>
        <v>752.55000000000007</v>
      </c>
    </row>
    <row r="225" spans="4:10" x14ac:dyDescent="0.25">
      <c r="D225" t="s">
        <v>13</v>
      </c>
      <c r="E225" t="s">
        <v>14</v>
      </c>
      <c r="F225" t="s">
        <v>7</v>
      </c>
      <c r="G225" s="5">
        <v>6118</v>
      </c>
      <c r="H225" s="3">
        <v>174</v>
      </c>
      <c r="I225">
        <f>_xlfn.XLOOKUP(Data[[#This Row],[Product]],products[Product],products[Cost per unit])</f>
        <v>14.49</v>
      </c>
      <c r="J225">
        <f>Data[[#This Row],[Cost per unit]]*Data[[#This Row],[Units]]</f>
        <v>2521.2600000000002</v>
      </c>
    </row>
    <row r="226" spans="4:10" x14ac:dyDescent="0.25">
      <c r="D226" t="s">
        <v>26</v>
      </c>
      <c r="E226" t="s">
        <v>17</v>
      </c>
      <c r="F226" t="s">
        <v>37</v>
      </c>
      <c r="G226" s="5">
        <v>4802</v>
      </c>
      <c r="H226" s="3">
        <v>36</v>
      </c>
      <c r="I226">
        <f>_xlfn.XLOOKUP(Data[[#This Row],[Product]],products[Product],products[Cost per unit])</f>
        <v>11.73</v>
      </c>
      <c r="J226">
        <f>Data[[#This Row],[Cost per unit]]*Data[[#This Row],[Units]]</f>
        <v>422.28000000000003</v>
      </c>
    </row>
    <row r="227" spans="4:10" x14ac:dyDescent="0.25">
      <c r="D227" t="s">
        <v>11</v>
      </c>
      <c r="E227" t="s">
        <v>20</v>
      </c>
      <c r="F227" t="s">
        <v>38</v>
      </c>
      <c r="G227" s="5">
        <v>4137</v>
      </c>
      <c r="H227" s="3">
        <v>60</v>
      </c>
      <c r="I227">
        <f>_xlfn.XLOOKUP(Data[[#This Row],[Product]],products[Product],products[Cost per unit])</f>
        <v>4.97</v>
      </c>
      <c r="J227">
        <f>Data[[#This Row],[Cost per unit]]*Data[[#This Row],[Units]]</f>
        <v>298.2</v>
      </c>
    </row>
    <row r="228" spans="4:10" x14ac:dyDescent="0.25">
      <c r="D228" t="s">
        <v>27</v>
      </c>
      <c r="E228" t="s">
        <v>9</v>
      </c>
      <c r="F228" t="s">
        <v>34</v>
      </c>
      <c r="G228" s="5">
        <v>2023</v>
      </c>
      <c r="H228" s="3">
        <v>78</v>
      </c>
      <c r="I228">
        <f>_xlfn.XLOOKUP(Data[[#This Row],[Product]],products[Product],products[Cost per unit])</f>
        <v>6.49</v>
      </c>
      <c r="J228">
        <f>Data[[#This Row],[Cost per unit]]*Data[[#This Row],[Units]]</f>
        <v>506.22</v>
      </c>
    </row>
    <row r="229" spans="4:10" x14ac:dyDescent="0.25">
      <c r="D229" t="s">
        <v>11</v>
      </c>
      <c r="E229" t="s">
        <v>14</v>
      </c>
      <c r="F229" t="s">
        <v>7</v>
      </c>
      <c r="G229" s="5">
        <v>9051</v>
      </c>
      <c r="H229" s="3">
        <v>57</v>
      </c>
      <c r="I229">
        <f>_xlfn.XLOOKUP(Data[[#This Row],[Product]],products[Product],products[Cost per unit])</f>
        <v>14.49</v>
      </c>
      <c r="J229">
        <f>Data[[#This Row],[Cost per unit]]*Data[[#This Row],[Units]]</f>
        <v>825.93000000000006</v>
      </c>
    </row>
    <row r="230" spans="4:10" x14ac:dyDescent="0.25">
      <c r="D230" t="s">
        <v>11</v>
      </c>
      <c r="E230" t="s">
        <v>6</v>
      </c>
      <c r="F230" t="s">
        <v>40</v>
      </c>
      <c r="G230" s="5">
        <v>2919</v>
      </c>
      <c r="H230" s="3">
        <v>45</v>
      </c>
      <c r="I230">
        <f>_xlfn.XLOOKUP(Data[[#This Row],[Product]],products[Product],products[Cost per unit])</f>
        <v>10.38</v>
      </c>
      <c r="J230">
        <f>Data[[#This Row],[Cost per unit]]*Data[[#This Row],[Units]]</f>
        <v>467.1</v>
      </c>
    </row>
    <row r="231" spans="4:10" x14ac:dyDescent="0.25">
      <c r="D231" t="s">
        <v>13</v>
      </c>
      <c r="E231" t="s">
        <v>20</v>
      </c>
      <c r="F231" t="s">
        <v>22</v>
      </c>
      <c r="G231" s="5">
        <v>5915</v>
      </c>
      <c r="H231" s="3">
        <v>3</v>
      </c>
      <c r="I231">
        <f>_xlfn.XLOOKUP(Data[[#This Row],[Product]],products[Product],products[Cost per unit])</f>
        <v>9.77</v>
      </c>
      <c r="J231">
        <f>Data[[#This Row],[Cost per unit]]*Data[[#This Row],[Units]]</f>
        <v>29.31</v>
      </c>
    </row>
    <row r="232" spans="4:10" x14ac:dyDescent="0.25">
      <c r="D232" t="s">
        <v>35</v>
      </c>
      <c r="E232" t="s">
        <v>9</v>
      </c>
      <c r="F232" t="s">
        <v>37</v>
      </c>
      <c r="G232" s="5">
        <v>2562</v>
      </c>
      <c r="H232" s="3">
        <v>6</v>
      </c>
      <c r="I232">
        <f>_xlfn.XLOOKUP(Data[[#This Row],[Product]],products[Product],products[Cost per unit])</f>
        <v>11.73</v>
      </c>
      <c r="J232">
        <f>Data[[#This Row],[Cost per unit]]*Data[[#This Row],[Units]]</f>
        <v>70.38</v>
      </c>
    </row>
    <row r="233" spans="4:10" x14ac:dyDescent="0.25">
      <c r="D233" t="s">
        <v>25</v>
      </c>
      <c r="E233" t="s">
        <v>6</v>
      </c>
      <c r="F233" t="s">
        <v>18</v>
      </c>
      <c r="G233" s="5">
        <v>8813</v>
      </c>
      <c r="H233" s="3">
        <v>21</v>
      </c>
      <c r="I233">
        <f>_xlfn.XLOOKUP(Data[[#This Row],[Product]],products[Product],products[Cost per unit])</f>
        <v>13.15</v>
      </c>
      <c r="J233">
        <f>Data[[#This Row],[Cost per unit]]*Data[[#This Row],[Units]]</f>
        <v>276.15000000000003</v>
      </c>
    </row>
    <row r="234" spans="4:10" x14ac:dyDescent="0.25">
      <c r="D234" t="s">
        <v>25</v>
      </c>
      <c r="E234" t="s">
        <v>14</v>
      </c>
      <c r="F234" t="s">
        <v>15</v>
      </c>
      <c r="G234" s="5">
        <v>6111</v>
      </c>
      <c r="H234" s="3">
        <v>3</v>
      </c>
      <c r="I234">
        <f>_xlfn.XLOOKUP(Data[[#This Row],[Product]],products[Product],products[Cost per unit])</f>
        <v>6.47</v>
      </c>
      <c r="J234">
        <f>Data[[#This Row],[Cost per unit]]*Data[[#This Row],[Units]]</f>
        <v>19.41</v>
      </c>
    </row>
    <row r="235" spans="4:10" x14ac:dyDescent="0.25">
      <c r="D235" t="s">
        <v>8</v>
      </c>
      <c r="E235" t="s">
        <v>30</v>
      </c>
      <c r="F235" t="s">
        <v>21</v>
      </c>
      <c r="G235" s="5">
        <v>3507</v>
      </c>
      <c r="H235" s="3">
        <v>288</v>
      </c>
      <c r="I235">
        <f>_xlfn.XLOOKUP(Data[[#This Row],[Product]],products[Product],products[Cost per unit])</f>
        <v>5.79</v>
      </c>
      <c r="J235">
        <f>Data[[#This Row],[Cost per unit]]*Data[[#This Row],[Units]]</f>
        <v>1667.52</v>
      </c>
    </row>
    <row r="236" spans="4:10" x14ac:dyDescent="0.25">
      <c r="D236" t="s">
        <v>16</v>
      </c>
      <c r="E236" t="s">
        <v>14</v>
      </c>
      <c r="F236" t="s">
        <v>31</v>
      </c>
      <c r="G236" s="5">
        <v>4319</v>
      </c>
      <c r="H236" s="3">
        <v>30</v>
      </c>
      <c r="I236">
        <f>_xlfn.XLOOKUP(Data[[#This Row],[Product]],products[Product],products[Cost per unit])</f>
        <v>9.33</v>
      </c>
      <c r="J236">
        <f>Data[[#This Row],[Cost per unit]]*Data[[#This Row],[Units]]</f>
        <v>279.89999999999998</v>
      </c>
    </row>
    <row r="237" spans="4:10" x14ac:dyDescent="0.25">
      <c r="D237" t="s">
        <v>5</v>
      </c>
      <c r="E237" t="s">
        <v>20</v>
      </c>
      <c r="F237" t="s">
        <v>42</v>
      </c>
      <c r="G237" s="5">
        <v>609</v>
      </c>
      <c r="H237" s="3">
        <v>87</v>
      </c>
      <c r="I237">
        <f>_xlfn.XLOOKUP(Data[[#This Row],[Product]],products[Product],products[Cost per unit])</f>
        <v>5.6</v>
      </c>
      <c r="J237">
        <f>Data[[#This Row],[Cost per unit]]*Data[[#This Row],[Units]]</f>
        <v>487.2</v>
      </c>
    </row>
    <row r="238" spans="4:10" x14ac:dyDescent="0.25">
      <c r="D238" t="s">
        <v>5</v>
      </c>
      <c r="E238" t="s">
        <v>17</v>
      </c>
      <c r="F238" t="s">
        <v>39</v>
      </c>
      <c r="G238" s="5">
        <v>6370</v>
      </c>
      <c r="H238" s="3">
        <v>30</v>
      </c>
      <c r="I238">
        <f>_xlfn.XLOOKUP(Data[[#This Row],[Product]],products[Product],products[Cost per unit])</f>
        <v>16.73</v>
      </c>
      <c r="J238">
        <f>Data[[#This Row],[Cost per unit]]*Data[[#This Row],[Units]]</f>
        <v>501.90000000000003</v>
      </c>
    </row>
    <row r="239" spans="4:10" x14ac:dyDescent="0.25">
      <c r="D239" t="s">
        <v>25</v>
      </c>
      <c r="E239" t="s">
        <v>20</v>
      </c>
      <c r="F239" t="s">
        <v>36</v>
      </c>
      <c r="G239" s="5">
        <v>5474</v>
      </c>
      <c r="H239" s="3">
        <v>168</v>
      </c>
      <c r="I239">
        <f>_xlfn.XLOOKUP(Data[[#This Row],[Product]],products[Product],products[Cost per unit])</f>
        <v>7.64</v>
      </c>
      <c r="J239">
        <f>Data[[#This Row],[Cost per unit]]*Data[[#This Row],[Units]]</f>
        <v>1283.52</v>
      </c>
    </row>
    <row r="240" spans="4:10" x14ac:dyDescent="0.25">
      <c r="D240" t="s">
        <v>5</v>
      </c>
      <c r="E240" t="s">
        <v>14</v>
      </c>
      <c r="F240" t="s">
        <v>39</v>
      </c>
      <c r="G240" s="5">
        <v>3164</v>
      </c>
      <c r="H240" s="3">
        <v>306</v>
      </c>
      <c r="I240">
        <f>_xlfn.XLOOKUP(Data[[#This Row],[Product]],products[Product],products[Cost per unit])</f>
        <v>16.73</v>
      </c>
      <c r="J240">
        <f>Data[[#This Row],[Cost per unit]]*Data[[#This Row],[Units]]</f>
        <v>5119.38</v>
      </c>
    </row>
    <row r="241" spans="4:10" x14ac:dyDescent="0.25">
      <c r="D241" t="s">
        <v>16</v>
      </c>
      <c r="E241" t="s">
        <v>9</v>
      </c>
      <c r="F241" t="s">
        <v>12</v>
      </c>
      <c r="G241" s="5">
        <v>1302</v>
      </c>
      <c r="H241" s="3">
        <v>402</v>
      </c>
      <c r="I241">
        <f>_xlfn.XLOOKUP(Data[[#This Row],[Product]],products[Product],products[Cost per unit])</f>
        <v>11.88</v>
      </c>
      <c r="J241">
        <f>Data[[#This Row],[Cost per unit]]*Data[[#This Row],[Units]]</f>
        <v>4775.76</v>
      </c>
    </row>
    <row r="242" spans="4:10" x14ac:dyDescent="0.25">
      <c r="D242" t="s">
        <v>27</v>
      </c>
      <c r="E242" t="s">
        <v>6</v>
      </c>
      <c r="F242" t="s">
        <v>40</v>
      </c>
      <c r="G242" s="5">
        <v>7308</v>
      </c>
      <c r="H242" s="3">
        <v>327</v>
      </c>
      <c r="I242">
        <f>_xlfn.XLOOKUP(Data[[#This Row],[Product]],products[Product],products[Cost per unit])</f>
        <v>10.38</v>
      </c>
      <c r="J242">
        <f>Data[[#This Row],[Cost per unit]]*Data[[#This Row],[Units]]</f>
        <v>3394.26</v>
      </c>
    </row>
    <row r="243" spans="4:10" x14ac:dyDescent="0.25">
      <c r="D243" t="s">
        <v>5</v>
      </c>
      <c r="E243" t="s">
        <v>6</v>
      </c>
      <c r="F243" t="s">
        <v>39</v>
      </c>
      <c r="G243" s="5">
        <v>6132</v>
      </c>
      <c r="H243" s="3">
        <v>93</v>
      </c>
      <c r="I243">
        <f>_xlfn.XLOOKUP(Data[[#This Row],[Product]],products[Product],products[Cost per unit])</f>
        <v>16.73</v>
      </c>
      <c r="J243">
        <f>Data[[#This Row],[Cost per unit]]*Data[[#This Row],[Units]]</f>
        <v>1555.89</v>
      </c>
    </row>
    <row r="244" spans="4:10" x14ac:dyDescent="0.25">
      <c r="D244" t="s">
        <v>35</v>
      </c>
      <c r="E244" t="s">
        <v>9</v>
      </c>
      <c r="F244" t="s">
        <v>24</v>
      </c>
      <c r="G244" s="5">
        <v>3472</v>
      </c>
      <c r="H244" s="3">
        <v>96</v>
      </c>
      <c r="I244">
        <f>_xlfn.XLOOKUP(Data[[#This Row],[Product]],products[Product],products[Cost per unit])</f>
        <v>11.7</v>
      </c>
      <c r="J244">
        <f>Data[[#This Row],[Cost per unit]]*Data[[#This Row],[Units]]</f>
        <v>1123.1999999999998</v>
      </c>
    </row>
    <row r="245" spans="4:10" x14ac:dyDescent="0.25">
      <c r="D245" t="s">
        <v>8</v>
      </c>
      <c r="E245" t="s">
        <v>17</v>
      </c>
      <c r="F245" t="s">
        <v>15</v>
      </c>
      <c r="G245" s="5">
        <v>9660</v>
      </c>
      <c r="H245" s="3">
        <v>27</v>
      </c>
      <c r="I245">
        <f>_xlfn.XLOOKUP(Data[[#This Row],[Product]],products[Product],products[Cost per unit])</f>
        <v>6.47</v>
      </c>
      <c r="J245">
        <f>Data[[#This Row],[Cost per unit]]*Data[[#This Row],[Units]]</f>
        <v>174.69</v>
      </c>
    </row>
    <row r="246" spans="4:10" x14ac:dyDescent="0.25">
      <c r="D246" t="s">
        <v>11</v>
      </c>
      <c r="E246" t="s">
        <v>20</v>
      </c>
      <c r="F246" t="s">
        <v>42</v>
      </c>
      <c r="G246" s="5">
        <v>2436</v>
      </c>
      <c r="H246" s="3">
        <v>99</v>
      </c>
      <c r="I246">
        <f>_xlfn.XLOOKUP(Data[[#This Row],[Product]],products[Product],products[Cost per unit])</f>
        <v>5.6</v>
      </c>
      <c r="J246">
        <f>Data[[#This Row],[Cost per unit]]*Data[[#This Row],[Units]]</f>
        <v>554.4</v>
      </c>
    </row>
    <row r="247" spans="4:10" x14ac:dyDescent="0.25">
      <c r="D247" t="s">
        <v>11</v>
      </c>
      <c r="E247" t="s">
        <v>20</v>
      </c>
      <c r="F247" t="s">
        <v>19</v>
      </c>
      <c r="G247" s="5">
        <v>9506</v>
      </c>
      <c r="H247" s="3">
        <v>87</v>
      </c>
      <c r="I247">
        <f>_xlfn.XLOOKUP(Data[[#This Row],[Product]],products[Product],products[Cost per unit])</f>
        <v>12.37</v>
      </c>
      <c r="J247">
        <f>Data[[#This Row],[Cost per unit]]*Data[[#This Row],[Units]]</f>
        <v>1076.1899999999998</v>
      </c>
    </row>
    <row r="248" spans="4:10" x14ac:dyDescent="0.25">
      <c r="D248" t="s">
        <v>35</v>
      </c>
      <c r="E248" t="s">
        <v>6</v>
      </c>
      <c r="F248" t="s">
        <v>41</v>
      </c>
      <c r="G248" s="5">
        <v>245</v>
      </c>
      <c r="H248" s="3">
        <v>288</v>
      </c>
      <c r="I248">
        <f>_xlfn.XLOOKUP(Data[[#This Row],[Product]],products[Product],products[Cost per unit])</f>
        <v>9</v>
      </c>
      <c r="J248">
        <f>Data[[#This Row],[Cost per unit]]*Data[[#This Row],[Units]]</f>
        <v>2592</v>
      </c>
    </row>
    <row r="249" spans="4:10" x14ac:dyDescent="0.25">
      <c r="D249" t="s">
        <v>8</v>
      </c>
      <c r="E249" t="s">
        <v>9</v>
      </c>
      <c r="F249" t="s">
        <v>33</v>
      </c>
      <c r="G249" s="5">
        <v>2702</v>
      </c>
      <c r="H249" s="3">
        <v>363</v>
      </c>
      <c r="I249">
        <f>_xlfn.XLOOKUP(Data[[#This Row],[Product]],products[Product],products[Cost per unit])</f>
        <v>10.62</v>
      </c>
      <c r="J249">
        <f>Data[[#This Row],[Cost per unit]]*Data[[#This Row],[Units]]</f>
        <v>3855.0599999999995</v>
      </c>
    </row>
    <row r="250" spans="4:10" x14ac:dyDescent="0.25">
      <c r="D250" t="s">
        <v>35</v>
      </c>
      <c r="E250" t="s">
        <v>30</v>
      </c>
      <c r="F250" t="s">
        <v>28</v>
      </c>
      <c r="G250" s="5">
        <v>700</v>
      </c>
      <c r="H250" s="3">
        <v>87</v>
      </c>
      <c r="I250">
        <f>_xlfn.XLOOKUP(Data[[#This Row],[Product]],products[Product],products[Cost per unit])</f>
        <v>3.11</v>
      </c>
      <c r="J250">
        <f>Data[[#This Row],[Cost per unit]]*Data[[#This Row],[Units]]</f>
        <v>270.57</v>
      </c>
    </row>
    <row r="251" spans="4:10" x14ac:dyDescent="0.25">
      <c r="D251" t="s">
        <v>16</v>
      </c>
      <c r="E251" t="s">
        <v>30</v>
      </c>
      <c r="F251" t="s">
        <v>28</v>
      </c>
      <c r="G251" s="5">
        <v>3759</v>
      </c>
      <c r="H251" s="3">
        <v>150</v>
      </c>
      <c r="I251">
        <f>_xlfn.XLOOKUP(Data[[#This Row],[Product]],products[Product],products[Cost per unit])</f>
        <v>3.11</v>
      </c>
      <c r="J251">
        <f>Data[[#This Row],[Cost per unit]]*Data[[#This Row],[Units]]</f>
        <v>466.5</v>
      </c>
    </row>
    <row r="252" spans="4:10" x14ac:dyDescent="0.25">
      <c r="D252" t="s">
        <v>26</v>
      </c>
      <c r="E252" t="s">
        <v>9</v>
      </c>
      <c r="F252" t="s">
        <v>28</v>
      </c>
      <c r="G252" s="5">
        <v>1589</v>
      </c>
      <c r="H252" s="3">
        <v>303</v>
      </c>
      <c r="I252">
        <f>_xlfn.XLOOKUP(Data[[#This Row],[Product]],products[Product],products[Cost per unit])</f>
        <v>3.11</v>
      </c>
      <c r="J252">
        <f>Data[[#This Row],[Cost per unit]]*Data[[#This Row],[Units]]</f>
        <v>942.32999999999993</v>
      </c>
    </row>
    <row r="253" spans="4:10" x14ac:dyDescent="0.25">
      <c r="D253" t="s">
        <v>23</v>
      </c>
      <c r="E253" t="s">
        <v>9</v>
      </c>
      <c r="F253" t="s">
        <v>40</v>
      </c>
      <c r="G253" s="5">
        <v>5194</v>
      </c>
      <c r="H253" s="3">
        <v>288</v>
      </c>
      <c r="I253">
        <f>_xlfn.XLOOKUP(Data[[#This Row],[Product]],products[Product],products[Cost per unit])</f>
        <v>10.38</v>
      </c>
      <c r="J253">
        <f>Data[[#This Row],[Cost per unit]]*Data[[#This Row],[Units]]</f>
        <v>2989.44</v>
      </c>
    </row>
    <row r="254" spans="4:10" x14ac:dyDescent="0.25">
      <c r="D254" t="s">
        <v>35</v>
      </c>
      <c r="E254" t="s">
        <v>14</v>
      </c>
      <c r="F254" t="s">
        <v>31</v>
      </c>
      <c r="G254" s="5">
        <v>945</v>
      </c>
      <c r="H254" s="3">
        <v>75</v>
      </c>
      <c r="I254">
        <f>_xlfn.XLOOKUP(Data[[#This Row],[Product]],products[Product],products[Cost per unit])</f>
        <v>9.33</v>
      </c>
      <c r="J254">
        <f>Data[[#This Row],[Cost per unit]]*Data[[#This Row],[Units]]</f>
        <v>699.75</v>
      </c>
    </row>
    <row r="255" spans="4:10" x14ac:dyDescent="0.25">
      <c r="D255" t="s">
        <v>5</v>
      </c>
      <c r="E255" t="s">
        <v>20</v>
      </c>
      <c r="F255" t="s">
        <v>21</v>
      </c>
      <c r="G255" s="5">
        <v>1988</v>
      </c>
      <c r="H255" s="3">
        <v>39</v>
      </c>
      <c r="I255">
        <f>_xlfn.XLOOKUP(Data[[#This Row],[Product]],products[Product],products[Cost per unit])</f>
        <v>5.79</v>
      </c>
      <c r="J255">
        <f>Data[[#This Row],[Cost per unit]]*Data[[#This Row],[Units]]</f>
        <v>225.81</v>
      </c>
    </row>
    <row r="256" spans="4:10" x14ac:dyDescent="0.25">
      <c r="D256" t="s">
        <v>16</v>
      </c>
      <c r="E256" t="s">
        <v>30</v>
      </c>
      <c r="F256" t="s">
        <v>10</v>
      </c>
      <c r="G256" s="5">
        <v>6734</v>
      </c>
      <c r="H256" s="3">
        <v>123</v>
      </c>
      <c r="I256">
        <f>_xlfn.XLOOKUP(Data[[#This Row],[Product]],products[Product],products[Cost per unit])</f>
        <v>8.65</v>
      </c>
      <c r="J256">
        <f>Data[[#This Row],[Cost per unit]]*Data[[#This Row],[Units]]</f>
        <v>1063.95</v>
      </c>
    </row>
    <row r="257" spans="4:10" x14ac:dyDescent="0.25">
      <c r="D257" t="s">
        <v>5</v>
      </c>
      <c r="E257" t="s">
        <v>14</v>
      </c>
      <c r="F257" t="s">
        <v>12</v>
      </c>
      <c r="G257" s="5">
        <v>217</v>
      </c>
      <c r="H257" s="3">
        <v>36</v>
      </c>
      <c r="I257">
        <f>_xlfn.XLOOKUP(Data[[#This Row],[Product]],products[Product],products[Cost per unit])</f>
        <v>11.88</v>
      </c>
      <c r="J257">
        <f>Data[[#This Row],[Cost per unit]]*Data[[#This Row],[Units]]</f>
        <v>427.68</v>
      </c>
    </row>
    <row r="258" spans="4:10" x14ac:dyDescent="0.25">
      <c r="D258" t="s">
        <v>25</v>
      </c>
      <c r="E258" t="s">
        <v>30</v>
      </c>
      <c r="F258" t="s">
        <v>22</v>
      </c>
      <c r="G258" s="5">
        <v>6279</v>
      </c>
      <c r="H258" s="3">
        <v>237</v>
      </c>
      <c r="I258">
        <f>_xlfn.XLOOKUP(Data[[#This Row],[Product]],products[Product],products[Cost per unit])</f>
        <v>9.77</v>
      </c>
      <c r="J258">
        <f>Data[[#This Row],[Cost per unit]]*Data[[#This Row],[Units]]</f>
        <v>2315.4899999999998</v>
      </c>
    </row>
    <row r="259" spans="4:10" x14ac:dyDescent="0.25">
      <c r="D259" t="s">
        <v>5</v>
      </c>
      <c r="E259" t="s">
        <v>14</v>
      </c>
      <c r="F259" t="s">
        <v>31</v>
      </c>
      <c r="G259" s="5">
        <v>4424</v>
      </c>
      <c r="H259" s="3">
        <v>201</v>
      </c>
      <c r="I259">
        <f>_xlfn.XLOOKUP(Data[[#This Row],[Product]],products[Product],products[Cost per unit])</f>
        <v>9.33</v>
      </c>
      <c r="J259">
        <f>Data[[#This Row],[Cost per unit]]*Data[[#This Row],[Units]]</f>
        <v>1875.33</v>
      </c>
    </row>
    <row r="260" spans="4:10" x14ac:dyDescent="0.25">
      <c r="D260" t="s">
        <v>26</v>
      </c>
      <c r="E260" t="s">
        <v>14</v>
      </c>
      <c r="F260" t="s">
        <v>28</v>
      </c>
      <c r="G260" s="5">
        <v>189</v>
      </c>
      <c r="H260" s="3">
        <v>48</v>
      </c>
      <c r="I260">
        <f>_xlfn.XLOOKUP(Data[[#This Row],[Product]],products[Product],products[Cost per unit])</f>
        <v>3.11</v>
      </c>
      <c r="J260">
        <f>Data[[#This Row],[Cost per unit]]*Data[[#This Row],[Units]]</f>
        <v>149.28</v>
      </c>
    </row>
    <row r="261" spans="4:10" x14ac:dyDescent="0.25">
      <c r="D261" t="s">
        <v>25</v>
      </c>
      <c r="E261" t="s">
        <v>9</v>
      </c>
      <c r="F261" t="s">
        <v>22</v>
      </c>
      <c r="G261" s="5">
        <v>490</v>
      </c>
      <c r="H261" s="3">
        <v>84</v>
      </c>
      <c r="I261">
        <f>_xlfn.XLOOKUP(Data[[#This Row],[Product]],products[Product],products[Cost per unit])</f>
        <v>9.77</v>
      </c>
      <c r="J261">
        <f>Data[[#This Row],[Cost per unit]]*Data[[#This Row],[Units]]</f>
        <v>820.68</v>
      </c>
    </row>
    <row r="262" spans="4:10" x14ac:dyDescent="0.25">
      <c r="D262" t="s">
        <v>8</v>
      </c>
      <c r="E262" t="s">
        <v>6</v>
      </c>
      <c r="F262" t="s">
        <v>41</v>
      </c>
      <c r="G262" s="5">
        <v>434</v>
      </c>
      <c r="H262" s="3">
        <v>87</v>
      </c>
      <c r="I262">
        <f>_xlfn.XLOOKUP(Data[[#This Row],[Product]],products[Product],products[Cost per unit])</f>
        <v>9</v>
      </c>
      <c r="J262">
        <f>Data[[#This Row],[Cost per unit]]*Data[[#This Row],[Units]]</f>
        <v>783</v>
      </c>
    </row>
    <row r="263" spans="4:10" x14ac:dyDescent="0.25">
      <c r="D263" t="s">
        <v>23</v>
      </c>
      <c r="E263" t="s">
        <v>20</v>
      </c>
      <c r="F263" t="s">
        <v>7</v>
      </c>
      <c r="G263" s="5">
        <v>10129</v>
      </c>
      <c r="H263" s="3">
        <v>312</v>
      </c>
      <c r="I263">
        <f>_xlfn.XLOOKUP(Data[[#This Row],[Product]],products[Product],products[Cost per unit])</f>
        <v>14.49</v>
      </c>
      <c r="J263">
        <f>Data[[#This Row],[Cost per unit]]*Data[[#This Row],[Units]]</f>
        <v>4520.88</v>
      </c>
    </row>
    <row r="264" spans="4:10" x14ac:dyDescent="0.25">
      <c r="D264" t="s">
        <v>27</v>
      </c>
      <c r="E264" t="s">
        <v>17</v>
      </c>
      <c r="F264" t="s">
        <v>40</v>
      </c>
      <c r="G264" s="5">
        <v>1652</v>
      </c>
      <c r="H264" s="3">
        <v>102</v>
      </c>
      <c r="I264">
        <f>_xlfn.XLOOKUP(Data[[#This Row],[Product]],products[Product],products[Cost per unit])</f>
        <v>10.38</v>
      </c>
      <c r="J264">
        <f>Data[[#This Row],[Cost per unit]]*Data[[#This Row],[Units]]</f>
        <v>1058.76</v>
      </c>
    </row>
    <row r="265" spans="4:10" x14ac:dyDescent="0.25">
      <c r="D265" t="s">
        <v>8</v>
      </c>
      <c r="E265" t="s">
        <v>20</v>
      </c>
      <c r="F265" t="s">
        <v>41</v>
      </c>
      <c r="G265" s="5">
        <v>6433</v>
      </c>
      <c r="H265" s="3">
        <v>78</v>
      </c>
      <c r="I265">
        <f>_xlfn.XLOOKUP(Data[[#This Row],[Product]],products[Product],products[Cost per unit])</f>
        <v>9</v>
      </c>
      <c r="J265">
        <f>Data[[#This Row],[Cost per unit]]*Data[[#This Row],[Units]]</f>
        <v>702</v>
      </c>
    </row>
    <row r="266" spans="4:10" x14ac:dyDescent="0.25">
      <c r="D266" t="s">
        <v>27</v>
      </c>
      <c r="E266" t="s">
        <v>30</v>
      </c>
      <c r="F266" t="s">
        <v>34</v>
      </c>
      <c r="G266" s="5">
        <v>2212</v>
      </c>
      <c r="H266" s="3">
        <v>117</v>
      </c>
      <c r="I266">
        <f>_xlfn.XLOOKUP(Data[[#This Row],[Product]],products[Product],products[Cost per unit])</f>
        <v>6.49</v>
      </c>
      <c r="J266">
        <f>Data[[#This Row],[Cost per unit]]*Data[[#This Row],[Units]]</f>
        <v>759.33</v>
      </c>
    </row>
    <row r="267" spans="4:10" x14ac:dyDescent="0.25">
      <c r="D267" t="s">
        <v>13</v>
      </c>
      <c r="E267" t="s">
        <v>9</v>
      </c>
      <c r="F267" t="s">
        <v>36</v>
      </c>
      <c r="G267" s="5">
        <v>609</v>
      </c>
      <c r="H267" s="3">
        <v>99</v>
      </c>
      <c r="I267">
        <f>_xlfn.XLOOKUP(Data[[#This Row],[Product]],products[Product],products[Cost per unit])</f>
        <v>7.64</v>
      </c>
      <c r="J267">
        <f>Data[[#This Row],[Cost per unit]]*Data[[#This Row],[Units]]</f>
        <v>756.36</v>
      </c>
    </row>
    <row r="268" spans="4:10" x14ac:dyDescent="0.25">
      <c r="D268" t="s">
        <v>5</v>
      </c>
      <c r="E268" t="s">
        <v>9</v>
      </c>
      <c r="F268" t="s">
        <v>38</v>
      </c>
      <c r="G268" s="5">
        <v>1638</v>
      </c>
      <c r="H268" s="3">
        <v>48</v>
      </c>
      <c r="I268">
        <f>_xlfn.XLOOKUP(Data[[#This Row],[Product]],products[Product],products[Cost per unit])</f>
        <v>4.97</v>
      </c>
      <c r="J268">
        <f>Data[[#This Row],[Cost per unit]]*Data[[#This Row],[Units]]</f>
        <v>238.56</v>
      </c>
    </row>
    <row r="269" spans="4:10" x14ac:dyDescent="0.25">
      <c r="D269" t="s">
        <v>23</v>
      </c>
      <c r="E269" t="s">
        <v>30</v>
      </c>
      <c r="F269" t="s">
        <v>37</v>
      </c>
      <c r="G269" s="5">
        <v>3829</v>
      </c>
      <c r="H269" s="3">
        <v>24</v>
      </c>
      <c r="I269">
        <f>_xlfn.XLOOKUP(Data[[#This Row],[Product]],products[Product],products[Cost per unit])</f>
        <v>11.73</v>
      </c>
      <c r="J269">
        <f>Data[[#This Row],[Cost per unit]]*Data[[#This Row],[Units]]</f>
        <v>281.52</v>
      </c>
    </row>
    <row r="270" spans="4:10" x14ac:dyDescent="0.25">
      <c r="D270" t="s">
        <v>5</v>
      </c>
      <c r="E270" t="s">
        <v>17</v>
      </c>
      <c r="F270" t="s">
        <v>37</v>
      </c>
      <c r="G270" s="5">
        <v>5775</v>
      </c>
      <c r="H270" s="3">
        <v>42</v>
      </c>
      <c r="I270">
        <f>_xlfn.XLOOKUP(Data[[#This Row],[Product]],products[Product],products[Cost per unit])</f>
        <v>11.73</v>
      </c>
      <c r="J270">
        <f>Data[[#This Row],[Cost per unit]]*Data[[#This Row],[Units]]</f>
        <v>492.66</v>
      </c>
    </row>
    <row r="271" spans="4:10" x14ac:dyDescent="0.25">
      <c r="D271" t="s">
        <v>16</v>
      </c>
      <c r="E271" t="s">
        <v>9</v>
      </c>
      <c r="F271" t="s">
        <v>33</v>
      </c>
      <c r="G271" s="5">
        <v>1071</v>
      </c>
      <c r="H271" s="3">
        <v>270</v>
      </c>
      <c r="I271">
        <f>_xlfn.XLOOKUP(Data[[#This Row],[Product]],products[Product],products[Cost per unit])</f>
        <v>10.62</v>
      </c>
      <c r="J271">
        <f>Data[[#This Row],[Cost per unit]]*Data[[#This Row],[Units]]</f>
        <v>2867.3999999999996</v>
      </c>
    </row>
    <row r="272" spans="4:10" x14ac:dyDescent="0.25">
      <c r="D272" t="s">
        <v>8</v>
      </c>
      <c r="E272" t="s">
        <v>14</v>
      </c>
      <c r="F272" t="s">
        <v>34</v>
      </c>
      <c r="G272" s="5">
        <v>5019</v>
      </c>
      <c r="H272" s="3">
        <v>150</v>
      </c>
      <c r="I272">
        <f>_xlfn.XLOOKUP(Data[[#This Row],[Product]],products[Product],products[Cost per unit])</f>
        <v>6.49</v>
      </c>
      <c r="J272">
        <f>Data[[#This Row],[Cost per unit]]*Data[[#This Row],[Units]]</f>
        <v>973.5</v>
      </c>
    </row>
    <row r="273" spans="4:10" x14ac:dyDescent="0.25">
      <c r="D273" t="s">
        <v>26</v>
      </c>
      <c r="E273" t="s">
        <v>6</v>
      </c>
      <c r="F273" t="s">
        <v>37</v>
      </c>
      <c r="G273" s="5">
        <v>2863</v>
      </c>
      <c r="H273" s="3">
        <v>42</v>
      </c>
      <c r="I273">
        <f>_xlfn.XLOOKUP(Data[[#This Row],[Product]],products[Product],products[Cost per unit])</f>
        <v>11.73</v>
      </c>
      <c r="J273">
        <f>Data[[#This Row],[Cost per unit]]*Data[[#This Row],[Units]]</f>
        <v>492.66</v>
      </c>
    </row>
    <row r="274" spans="4:10" x14ac:dyDescent="0.25">
      <c r="D274" t="s">
        <v>5</v>
      </c>
      <c r="E274" t="s">
        <v>9</v>
      </c>
      <c r="F274" t="s">
        <v>32</v>
      </c>
      <c r="G274" s="5">
        <v>1617</v>
      </c>
      <c r="H274" s="3">
        <v>126</v>
      </c>
      <c r="I274">
        <f>_xlfn.XLOOKUP(Data[[#This Row],[Product]],products[Product],products[Cost per unit])</f>
        <v>7.16</v>
      </c>
      <c r="J274">
        <f>Data[[#This Row],[Cost per unit]]*Data[[#This Row],[Units]]</f>
        <v>902.16</v>
      </c>
    </row>
    <row r="275" spans="4:10" x14ac:dyDescent="0.25">
      <c r="D275" t="s">
        <v>16</v>
      </c>
      <c r="E275" t="s">
        <v>6</v>
      </c>
      <c r="F275" t="s">
        <v>42</v>
      </c>
      <c r="G275" s="5">
        <v>6818</v>
      </c>
      <c r="H275" s="3">
        <v>6</v>
      </c>
      <c r="I275">
        <f>_xlfn.XLOOKUP(Data[[#This Row],[Product]],products[Product],products[Cost per unit])</f>
        <v>5.6</v>
      </c>
      <c r="J275">
        <f>Data[[#This Row],[Cost per unit]]*Data[[#This Row],[Units]]</f>
        <v>33.599999999999994</v>
      </c>
    </row>
    <row r="276" spans="4:10" x14ac:dyDescent="0.25">
      <c r="D276" t="s">
        <v>27</v>
      </c>
      <c r="E276" t="s">
        <v>9</v>
      </c>
      <c r="F276" t="s">
        <v>37</v>
      </c>
      <c r="G276" s="5">
        <v>6657</v>
      </c>
      <c r="H276" s="3">
        <v>276</v>
      </c>
      <c r="I276">
        <f>_xlfn.XLOOKUP(Data[[#This Row],[Product]],products[Product],products[Cost per unit])</f>
        <v>11.73</v>
      </c>
      <c r="J276">
        <f>Data[[#This Row],[Cost per unit]]*Data[[#This Row],[Units]]</f>
        <v>3237.48</v>
      </c>
    </row>
    <row r="277" spans="4:10" x14ac:dyDescent="0.25">
      <c r="D277" t="s">
        <v>27</v>
      </c>
      <c r="E277" t="s">
        <v>30</v>
      </c>
      <c r="F277" t="s">
        <v>28</v>
      </c>
      <c r="G277" s="5">
        <v>2919</v>
      </c>
      <c r="H277" s="3">
        <v>93</v>
      </c>
      <c r="I277">
        <f>_xlfn.XLOOKUP(Data[[#This Row],[Product]],products[Product],products[Cost per unit])</f>
        <v>3.11</v>
      </c>
      <c r="J277">
        <f>Data[[#This Row],[Cost per unit]]*Data[[#This Row],[Units]]</f>
        <v>289.22999999999996</v>
      </c>
    </row>
    <row r="278" spans="4:10" x14ac:dyDescent="0.25">
      <c r="D278" t="s">
        <v>26</v>
      </c>
      <c r="E278" t="s">
        <v>14</v>
      </c>
      <c r="F278" t="s">
        <v>21</v>
      </c>
      <c r="G278" s="5">
        <v>3094</v>
      </c>
      <c r="H278" s="3">
        <v>246</v>
      </c>
      <c r="I278">
        <f>_xlfn.XLOOKUP(Data[[#This Row],[Product]],products[Product],products[Cost per unit])</f>
        <v>5.79</v>
      </c>
      <c r="J278">
        <f>Data[[#This Row],[Cost per unit]]*Data[[#This Row],[Units]]</f>
        <v>1424.34</v>
      </c>
    </row>
    <row r="279" spans="4:10" x14ac:dyDescent="0.25">
      <c r="D279" t="s">
        <v>16</v>
      </c>
      <c r="E279" t="s">
        <v>17</v>
      </c>
      <c r="F279" t="s">
        <v>38</v>
      </c>
      <c r="G279" s="5">
        <v>2989</v>
      </c>
      <c r="H279" s="3">
        <v>3</v>
      </c>
      <c r="I279">
        <f>_xlfn.XLOOKUP(Data[[#This Row],[Product]],products[Product],products[Cost per unit])</f>
        <v>4.97</v>
      </c>
      <c r="J279">
        <f>Data[[#This Row],[Cost per unit]]*Data[[#This Row],[Units]]</f>
        <v>14.91</v>
      </c>
    </row>
    <row r="280" spans="4:10" x14ac:dyDescent="0.25">
      <c r="D280" t="s">
        <v>8</v>
      </c>
      <c r="E280" t="s">
        <v>20</v>
      </c>
      <c r="F280" t="s">
        <v>39</v>
      </c>
      <c r="G280" s="5">
        <v>2268</v>
      </c>
      <c r="H280" s="3">
        <v>63</v>
      </c>
      <c r="I280">
        <f>_xlfn.XLOOKUP(Data[[#This Row],[Product]],products[Product],products[Cost per unit])</f>
        <v>16.73</v>
      </c>
      <c r="J280">
        <f>Data[[#This Row],[Cost per unit]]*Data[[#This Row],[Units]]</f>
        <v>1053.99</v>
      </c>
    </row>
    <row r="281" spans="4:10" x14ac:dyDescent="0.25">
      <c r="D281" t="s">
        <v>25</v>
      </c>
      <c r="E281" t="s">
        <v>9</v>
      </c>
      <c r="F281" t="s">
        <v>21</v>
      </c>
      <c r="G281" s="5">
        <v>4753</v>
      </c>
      <c r="H281" s="3">
        <v>246</v>
      </c>
      <c r="I281">
        <f>_xlfn.XLOOKUP(Data[[#This Row],[Product]],products[Product],products[Cost per unit])</f>
        <v>5.79</v>
      </c>
      <c r="J281">
        <f>Data[[#This Row],[Cost per unit]]*Data[[#This Row],[Units]]</f>
        <v>1424.34</v>
      </c>
    </row>
    <row r="282" spans="4:10" x14ac:dyDescent="0.25">
      <c r="D282" t="s">
        <v>26</v>
      </c>
      <c r="E282" t="s">
        <v>30</v>
      </c>
      <c r="F282" t="s">
        <v>36</v>
      </c>
      <c r="G282" s="5">
        <v>7511</v>
      </c>
      <c r="H282" s="3">
        <v>120</v>
      </c>
      <c r="I282">
        <f>_xlfn.XLOOKUP(Data[[#This Row],[Product]],products[Product],products[Cost per unit])</f>
        <v>7.64</v>
      </c>
      <c r="J282">
        <f>Data[[#This Row],[Cost per unit]]*Data[[#This Row],[Units]]</f>
        <v>916.8</v>
      </c>
    </row>
    <row r="283" spans="4:10" x14ac:dyDescent="0.25">
      <c r="D283" t="s">
        <v>26</v>
      </c>
      <c r="E283" t="s">
        <v>20</v>
      </c>
      <c r="F283" t="s">
        <v>21</v>
      </c>
      <c r="G283" s="5">
        <v>4326</v>
      </c>
      <c r="H283" s="3">
        <v>348</v>
      </c>
      <c r="I283">
        <f>_xlfn.XLOOKUP(Data[[#This Row],[Product]],products[Product],products[Cost per unit])</f>
        <v>5.79</v>
      </c>
      <c r="J283">
        <f>Data[[#This Row],[Cost per unit]]*Data[[#This Row],[Units]]</f>
        <v>2014.92</v>
      </c>
    </row>
    <row r="284" spans="4:10" x14ac:dyDescent="0.25">
      <c r="D284" t="s">
        <v>13</v>
      </c>
      <c r="E284" t="s">
        <v>30</v>
      </c>
      <c r="F284" t="s">
        <v>34</v>
      </c>
      <c r="G284" s="5">
        <v>4935</v>
      </c>
      <c r="H284" s="3">
        <v>126</v>
      </c>
      <c r="I284">
        <f>_xlfn.XLOOKUP(Data[[#This Row],[Product]],products[Product],products[Cost per unit])</f>
        <v>6.49</v>
      </c>
      <c r="J284">
        <f>Data[[#This Row],[Cost per unit]]*Data[[#This Row],[Units]]</f>
        <v>817.74</v>
      </c>
    </row>
    <row r="285" spans="4:10" x14ac:dyDescent="0.25">
      <c r="D285" t="s">
        <v>16</v>
      </c>
      <c r="E285" t="s">
        <v>9</v>
      </c>
      <c r="F285" t="s">
        <v>7</v>
      </c>
      <c r="G285" s="5">
        <v>4781</v>
      </c>
      <c r="H285" s="3">
        <v>123</v>
      </c>
      <c r="I285">
        <f>_xlfn.XLOOKUP(Data[[#This Row],[Product]],products[Product],products[Cost per unit])</f>
        <v>14.49</v>
      </c>
      <c r="J285">
        <f>Data[[#This Row],[Cost per unit]]*Data[[#This Row],[Units]]</f>
        <v>1782.27</v>
      </c>
    </row>
    <row r="286" spans="4:10" x14ac:dyDescent="0.25">
      <c r="D286" t="s">
        <v>25</v>
      </c>
      <c r="E286" t="s">
        <v>20</v>
      </c>
      <c r="F286" t="s">
        <v>18</v>
      </c>
      <c r="G286" s="5">
        <v>7483</v>
      </c>
      <c r="H286" s="3">
        <v>45</v>
      </c>
      <c r="I286">
        <f>_xlfn.XLOOKUP(Data[[#This Row],[Product]],products[Product],products[Cost per unit])</f>
        <v>13.15</v>
      </c>
      <c r="J286">
        <f>Data[[#This Row],[Cost per unit]]*Data[[#This Row],[Units]]</f>
        <v>591.75</v>
      </c>
    </row>
    <row r="287" spans="4:10" x14ac:dyDescent="0.25">
      <c r="D287" t="s">
        <v>35</v>
      </c>
      <c r="E287" t="s">
        <v>20</v>
      </c>
      <c r="F287" t="s">
        <v>12</v>
      </c>
      <c r="G287" s="5">
        <v>6860</v>
      </c>
      <c r="H287" s="3">
        <v>126</v>
      </c>
      <c r="I287">
        <f>_xlfn.XLOOKUP(Data[[#This Row],[Product]],products[Product],products[Cost per unit])</f>
        <v>11.88</v>
      </c>
      <c r="J287">
        <f>Data[[#This Row],[Cost per unit]]*Data[[#This Row],[Units]]</f>
        <v>1496.88</v>
      </c>
    </row>
    <row r="288" spans="4:10" x14ac:dyDescent="0.25">
      <c r="D288" t="s">
        <v>5</v>
      </c>
      <c r="E288" t="s">
        <v>6</v>
      </c>
      <c r="F288" t="s">
        <v>32</v>
      </c>
      <c r="G288" s="5">
        <v>9002</v>
      </c>
      <c r="H288" s="3">
        <v>72</v>
      </c>
      <c r="I288">
        <f>_xlfn.XLOOKUP(Data[[#This Row],[Product]],products[Product],products[Cost per unit])</f>
        <v>7.16</v>
      </c>
      <c r="J288">
        <f>Data[[#This Row],[Cost per unit]]*Data[[#This Row],[Units]]</f>
        <v>515.52</v>
      </c>
    </row>
    <row r="289" spans="4:10" x14ac:dyDescent="0.25">
      <c r="D289" t="s">
        <v>16</v>
      </c>
      <c r="E289" t="s">
        <v>14</v>
      </c>
      <c r="F289" t="s">
        <v>32</v>
      </c>
      <c r="G289" s="5">
        <v>1400</v>
      </c>
      <c r="H289" s="3">
        <v>135</v>
      </c>
      <c r="I289">
        <f>_xlfn.XLOOKUP(Data[[#This Row],[Product]],products[Product],products[Cost per unit])</f>
        <v>7.16</v>
      </c>
      <c r="J289">
        <f>Data[[#This Row],[Cost per unit]]*Data[[#This Row],[Units]]</f>
        <v>966.6</v>
      </c>
    </row>
    <row r="290" spans="4:10" x14ac:dyDescent="0.25">
      <c r="D290" t="s">
        <v>35</v>
      </c>
      <c r="E290" t="s">
        <v>30</v>
      </c>
      <c r="F290" t="s">
        <v>22</v>
      </c>
      <c r="G290" s="5">
        <v>4053</v>
      </c>
      <c r="H290" s="3">
        <v>24</v>
      </c>
      <c r="I290">
        <f>_xlfn.XLOOKUP(Data[[#This Row],[Product]],products[Product],products[Cost per unit])</f>
        <v>9.77</v>
      </c>
      <c r="J290">
        <f>Data[[#This Row],[Cost per unit]]*Data[[#This Row],[Units]]</f>
        <v>234.48</v>
      </c>
    </row>
    <row r="291" spans="4:10" x14ac:dyDescent="0.25">
      <c r="D291" t="s">
        <v>23</v>
      </c>
      <c r="E291" t="s">
        <v>14</v>
      </c>
      <c r="F291" t="s">
        <v>21</v>
      </c>
      <c r="G291" s="5">
        <v>2149</v>
      </c>
      <c r="H291" s="3">
        <v>117</v>
      </c>
      <c r="I291">
        <f>_xlfn.XLOOKUP(Data[[#This Row],[Product]],products[Product],products[Cost per unit])</f>
        <v>5.79</v>
      </c>
      <c r="J291">
        <f>Data[[#This Row],[Cost per unit]]*Data[[#This Row],[Units]]</f>
        <v>677.43</v>
      </c>
    </row>
    <row r="292" spans="4:10" x14ac:dyDescent="0.25">
      <c r="D292" t="s">
        <v>27</v>
      </c>
      <c r="E292" t="s">
        <v>17</v>
      </c>
      <c r="F292" t="s">
        <v>32</v>
      </c>
      <c r="G292" s="5">
        <v>3640</v>
      </c>
      <c r="H292" s="3">
        <v>51</v>
      </c>
      <c r="I292">
        <f>_xlfn.XLOOKUP(Data[[#This Row],[Product]],products[Product],products[Cost per unit])</f>
        <v>7.16</v>
      </c>
      <c r="J292">
        <f>Data[[#This Row],[Cost per unit]]*Data[[#This Row],[Units]]</f>
        <v>365.16</v>
      </c>
    </row>
    <row r="293" spans="4:10" x14ac:dyDescent="0.25">
      <c r="D293" t="s">
        <v>26</v>
      </c>
      <c r="E293" t="s">
        <v>17</v>
      </c>
      <c r="F293" t="s">
        <v>34</v>
      </c>
      <c r="G293" s="5">
        <v>630</v>
      </c>
      <c r="H293" s="3">
        <v>36</v>
      </c>
      <c r="I293">
        <f>_xlfn.XLOOKUP(Data[[#This Row],[Product]],products[Product],products[Cost per unit])</f>
        <v>6.49</v>
      </c>
      <c r="J293">
        <f>Data[[#This Row],[Cost per unit]]*Data[[#This Row],[Units]]</f>
        <v>233.64000000000001</v>
      </c>
    </row>
    <row r="294" spans="4:10" x14ac:dyDescent="0.25">
      <c r="D294" t="s">
        <v>11</v>
      </c>
      <c r="E294" t="s">
        <v>9</v>
      </c>
      <c r="F294" t="s">
        <v>39</v>
      </c>
      <c r="G294" s="5">
        <v>2429</v>
      </c>
      <c r="H294" s="3">
        <v>144</v>
      </c>
      <c r="I294">
        <f>_xlfn.XLOOKUP(Data[[#This Row],[Product]],products[Product],products[Cost per unit])</f>
        <v>16.73</v>
      </c>
      <c r="J294">
        <f>Data[[#This Row],[Cost per unit]]*Data[[#This Row],[Units]]</f>
        <v>2409.12</v>
      </c>
    </row>
    <row r="295" spans="4:10" x14ac:dyDescent="0.25">
      <c r="D295" t="s">
        <v>11</v>
      </c>
      <c r="E295" t="s">
        <v>14</v>
      </c>
      <c r="F295" t="s">
        <v>18</v>
      </c>
      <c r="G295" s="5">
        <v>2142</v>
      </c>
      <c r="H295" s="3">
        <v>114</v>
      </c>
      <c r="I295">
        <f>_xlfn.XLOOKUP(Data[[#This Row],[Product]],products[Product],products[Cost per unit])</f>
        <v>13.15</v>
      </c>
      <c r="J295">
        <f>Data[[#This Row],[Cost per unit]]*Data[[#This Row],[Units]]</f>
        <v>1499.1000000000001</v>
      </c>
    </row>
    <row r="296" spans="4:10" x14ac:dyDescent="0.25">
      <c r="D296" t="s">
        <v>23</v>
      </c>
      <c r="E296" t="s">
        <v>6</v>
      </c>
      <c r="F296" t="s">
        <v>7</v>
      </c>
      <c r="G296" s="5">
        <v>6454</v>
      </c>
      <c r="H296" s="3">
        <v>54</v>
      </c>
      <c r="I296">
        <f>_xlfn.XLOOKUP(Data[[#This Row],[Product]],products[Product],products[Cost per unit])</f>
        <v>14.49</v>
      </c>
      <c r="J296">
        <f>Data[[#This Row],[Cost per unit]]*Data[[#This Row],[Units]]</f>
        <v>782.46</v>
      </c>
    </row>
    <row r="297" spans="4:10" x14ac:dyDescent="0.25">
      <c r="D297" t="s">
        <v>23</v>
      </c>
      <c r="E297" t="s">
        <v>6</v>
      </c>
      <c r="F297" t="s">
        <v>29</v>
      </c>
      <c r="G297" s="5">
        <v>4487</v>
      </c>
      <c r="H297" s="3">
        <v>333</v>
      </c>
      <c r="I297">
        <f>_xlfn.XLOOKUP(Data[[#This Row],[Product]],products[Product],products[Cost per unit])</f>
        <v>8.7899999999999991</v>
      </c>
      <c r="J297">
        <f>Data[[#This Row],[Cost per unit]]*Data[[#This Row],[Units]]</f>
        <v>2927.0699999999997</v>
      </c>
    </row>
    <row r="298" spans="4:10" x14ac:dyDescent="0.25">
      <c r="D298" t="s">
        <v>27</v>
      </c>
      <c r="E298" t="s">
        <v>6</v>
      </c>
      <c r="F298" t="s">
        <v>12</v>
      </c>
      <c r="G298" s="5">
        <v>938</v>
      </c>
      <c r="H298" s="3">
        <v>366</v>
      </c>
      <c r="I298">
        <f>_xlfn.XLOOKUP(Data[[#This Row],[Product]],products[Product],products[Cost per unit])</f>
        <v>11.88</v>
      </c>
      <c r="J298">
        <f>Data[[#This Row],[Cost per unit]]*Data[[#This Row],[Units]]</f>
        <v>4348.08</v>
      </c>
    </row>
    <row r="299" spans="4:10" x14ac:dyDescent="0.25">
      <c r="D299" t="s">
        <v>27</v>
      </c>
      <c r="E299" t="s">
        <v>20</v>
      </c>
      <c r="F299" t="s">
        <v>42</v>
      </c>
      <c r="G299" s="5">
        <v>8841</v>
      </c>
      <c r="H299" s="3">
        <v>303</v>
      </c>
      <c r="I299">
        <f>_xlfn.XLOOKUP(Data[[#This Row],[Product]],products[Product],products[Cost per unit])</f>
        <v>5.6</v>
      </c>
      <c r="J299">
        <f>Data[[#This Row],[Cost per unit]]*Data[[#This Row],[Units]]</f>
        <v>1696.8</v>
      </c>
    </row>
    <row r="300" spans="4:10" x14ac:dyDescent="0.25">
      <c r="D300" t="s">
        <v>26</v>
      </c>
      <c r="E300" t="s">
        <v>17</v>
      </c>
      <c r="F300" t="s">
        <v>19</v>
      </c>
      <c r="G300" s="5">
        <v>4018</v>
      </c>
      <c r="H300" s="3">
        <v>126</v>
      </c>
      <c r="I300">
        <f>_xlfn.XLOOKUP(Data[[#This Row],[Product]],products[Product],products[Cost per unit])</f>
        <v>12.37</v>
      </c>
      <c r="J300">
        <f>Data[[#This Row],[Cost per unit]]*Data[[#This Row],[Units]]</f>
        <v>1558.62</v>
      </c>
    </row>
    <row r="301" spans="4:10" x14ac:dyDescent="0.25">
      <c r="D301" t="s">
        <v>13</v>
      </c>
      <c r="E301" t="s">
        <v>6</v>
      </c>
      <c r="F301" t="s">
        <v>37</v>
      </c>
      <c r="G301" s="5">
        <v>714</v>
      </c>
      <c r="H301" s="3">
        <v>231</v>
      </c>
      <c r="I301">
        <f>_xlfn.XLOOKUP(Data[[#This Row],[Product]],products[Product],products[Cost per unit])</f>
        <v>11.73</v>
      </c>
      <c r="J301">
        <f>Data[[#This Row],[Cost per unit]]*Data[[#This Row],[Units]]</f>
        <v>2709.63</v>
      </c>
    </row>
    <row r="302" spans="4:10" x14ac:dyDescent="0.25">
      <c r="D302" t="s">
        <v>11</v>
      </c>
      <c r="E302" t="s">
        <v>20</v>
      </c>
      <c r="F302" t="s">
        <v>18</v>
      </c>
      <c r="G302" s="5">
        <v>3850</v>
      </c>
      <c r="H302" s="3">
        <v>102</v>
      </c>
      <c r="I302">
        <f>_xlfn.XLOOKUP(Data[[#This Row],[Product]],products[Product],products[Cost per unit])</f>
        <v>13.15</v>
      </c>
      <c r="J302">
        <f>Data[[#This Row],[Cost per unit]]*Data[[#This Row],[Units]]</f>
        <v>1341.3</v>
      </c>
    </row>
  </sheetData>
  <mergeCells count="1">
    <mergeCell ref="A1:XFD1"/>
  </mergeCells>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86D45-1729-42C4-B9F8-C0A96F5E2263}">
  <dimension ref="C1:J12"/>
  <sheetViews>
    <sheetView topLeftCell="E1" zoomScale="152" zoomScaleNormal="152" workbookViewId="0">
      <selection activeCell="H9" sqref="H9"/>
    </sheetView>
  </sheetViews>
  <sheetFormatPr defaultRowHeight="15" x14ac:dyDescent="0.25"/>
  <cols>
    <col min="2" max="2" width="12.5703125" customWidth="1"/>
    <col min="3" max="3" width="13.5703125" style="5" customWidth="1"/>
    <col min="4" max="4" width="13.140625" customWidth="1"/>
    <col min="5" max="5" width="6.42578125" customWidth="1"/>
    <col min="6" max="6" width="1" hidden="1" customWidth="1"/>
    <col min="7" max="7" width="2.85546875" hidden="1" customWidth="1"/>
    <col min="8" max="8" width="23.42578125" customWidth="1"/>
    <col min="9" max="9" width="31.5703125" customWidth="1"/>
    <col min="10" max="10" width="39.140625" customWidth="1"/>
  </cols>
  <sheetData>
    <row r="1" spans="8:10" ht="51" x14ac:dyDescent="0.8">
      <c r="H1" s="24" t="s">
        <v>76</v>
      </c>
      <c r="I1" s="25"/>
      <c r="J1" s="25"/>
    </row>
    <row r="2" spans="8:10" s="1" customFormat="1" x14ac:dyDescent="0.25">
      <c r="H2" s="1" t="s">
        <v>58</v>
      </c>
      <c r="I2" s="14" t="s">
        <v>3</v>
      </c>
      <c r="J2" s="1" t="s">
        <v>4</v>
      </c>
    </row>
    <row r="3" spans="8:10" x14ac:dyDescent="0.25">
      <c r="H3" t="s">
        <v>43</v>
      </c>
      <c r="I3" s="5">
        <f>AVERAGE(Data[Amount])</f>
        <v>4136.2299999999996</v>
      </c>
      <c r="J3">
        <f>AVERAGE(Data[Units])</f>
        <v>152.19999999999999</v>
      </c>
    </row>
    <row r="4" spans="8:10" x14ac:dyDescent="0.25">
      <c r="H4" t="s">
        <v>44</v>
      </c>
      <c r="I4" s="5">
        <f>MEDIAN(Data[Amount])</f>
        <v>3437</v>
      </c>
      <c r="J4">
        <f>MEDIAN(Data[Units])</f>
        <v>124.5</v>
      </c>
    </row>
    <row r="5" spans="8:10" x14ac:dyDescent="0.25">
      <c r="H5" t="s">
        <v>45</v>
      </c>
      <c r="I5" s="5">
        <f>MIN(Data[Amount])</f>
        <v>0</v>
      </c>
      <c r="J5">
        <f>MIN(Data[Units])</f>
        <v>0</v>
      </c>
    </row>
    <row r="6" spans="8:10" x14ac:dyDescent="0.25">
      <c r="H6" t="s">
        <v>46</v>
      </c>
      <c r="I6" s="5">
        <f>MAX(Data[Amount])</f>
        <v>16184</v>
      </c>
      <c r="J6">
        <f>MAX(Data[Units])</f>
        <v>525</v>
      </c>
    </row>
    <row r="7" spans="8:10" x14ac:dyDescent="0.25">
      <c r="H7" t="s">
        <v>47</v>
      </c>
      <c r="I7" s="5">
        <f>I6-I5</f>
        <v>16184</v>
      </c>
      <c r="J7">
        <f>J6-J5</f>
        <v>525</v>
      </c>
    </row>
    <row r="8" spans="8:10" x14ac:dyDescent="0.25">
      <c r="I8" s="5"/>
    </row>
    <row r="9" spans="8:10" x14ac:dyDescent="0.25">
      <c r="H9" t="s">
        <v>48</v>
      </c>
      <c r="I9" s="5">
        <f>_xlfn.PERCENTILE.EXC(Data[Amount],0.25)</f>
        <v>1652</v>
      </c>
      <c r="J9" s="8">
        <f>_xlfn.PERCENTILE.EXC(Data[Units],0.25)</f>
        <v>54</v>
      </c>
    </row>
    <row r="10" spans="8:10" x14ac:dyDescent="0.25">
      <c r="H10" t="s">
        <v>49</v>
      </c>
      <c r="I10" s="5">
        <f>_xlfn.PERCENTILE.EXC(Data[Amount],0.75)</f>
        <v>6245.75</v>
      </c>
      <c r="J10">
        <f>_xlfn.PERCENTILE.EXC(Data[Units],0.75)</f>
        <v>223.5</v>
      </c>
    </row>
    <row r="11" spans="8:10" x14ac:dyDescent="0.25">
      <c r="I11" s="5"/>
    </row>
    <row r="12" spans="8:10" x14ac:dyDescent="0.25">
      <c r="H12" t="s">
        <v>50</v>
      </c>
      <c r="I12" s="5"/>
      <c r="J12">
        <f>COUNTA(_xlfn.UNIQUE(Data[Product]))</f>
        <v>22</v>
      </c>
    </row>
  </sheetData>
  <mergeCells count="1">
    <mergeCell ref="H1:J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641B1-864A-441E-970F-D97CE4537519}">
  <dimension ref="B1:I302"/>
  <sheetViews>
    <sheetView workbookViewId="0">
      <selection activeCell="B1" sqref="B1:I1"/>
    </sheetView>
  </sheetViews>
  <sheetFormatPr defaultRowHeight="15" x14ac:dyDescent="0.25"/>
  <cols>
    <col min="2" max="2" width="8" customWidth="1"/>
    <col min="3" max="3" width="6.7109375" hidden="1" customWidth="1"/>
    <col min="4" max="4" width="19.140625" customWidth="1"/>
    <col min="5" max="5" width="18.7109375" customWidth="1"/>
    <col min="6" max="6" width="26" customWidth="1"/>
    <col min="7" max="7" width="36.28515625" customWidth="1"/>
    <col min="8" max="8" width="33" customWidth="1"/>
  </cols>
  <sheetData>
    <row r="1" spans="2:9" ht="51" x14ac:dyDescent="0.8">
      <c r="B1" s="24" t="s">
        <v>77</v>
      </c>
      <c r="C1" s="24"/>
      <c r="D1" s="24"/>
      <c r="E1" s="24"/>
      <c r="F1" s="24"/>
      <c r="G1" s="24"/>
      <c r="H1" s="24"/>
      <c r="I1" s="24"/>
    </row>
    <row r="2" spans="2:9" x14ac:dyDescent="0.25">
      <c r="D2" s="1" t="s">
        <v>0</v>
      </c>
      <c r="E2" s="1" t="s">
        <v>1</v>
      </c>
      <c r="F2" s="1" t="s">
        <v>2</v>
      </c>
      <c r="G2" s="4" t="s">
        <v>3</v>
      </c>
      <c r="H2" s="2" t="s">
        <v>4</v>
      </c>
    </row>
    <row r="3" spans="2:9" x14ac:dyDescent="0.25">
      <c r="D3" t="s">
        <v>25</v>
      </c>
      <c r="E3" t="s">
        <v>14</v>
      </c>
      <c r="F3" t="s">
        <v>29</v>
      </c>
      <c r="G3" s="5">
        <v>16184</v>
      </c>
      <c r="H3" s="3">
        <v>39</v>
      </c>
    </row>
    <row r="4" spans="2:9" x14ac:dyDescent="0.25">
      <c r="D4" t="s">
        <v>25</v>
      </c>
      <c r="E4" t="s">
        <v>30</v>
      </c>
      <c r="F4" t="s">
        <v>33</v>
      </c>
      <c r="G4" s="5">
        <v>15610</v>
      </c>
      <c r="H4" s="3">
        <v>339</v>
      </c>
    </row>
    <row r="5" spans="2:9" x14ac:dyDescent="0.25">
      <c r="D5" t="s">
        <v>11</v>
      </c>
      <c r="E5" t="s">
        <v>30</v>
      </c>
      <c r="F5" t="s">
        <v>40</v>
      </c>
      <c r="G5" s="5">
        <v>14329</v>
      </c>
      <c r="H5" s="3">
        <v>150</v>
      </c>
    </row>
    <row r="6" spans="2:9" x14ac:dyDescent="0.25">
      <c r="D6" t="s">
        <v>25</v>
      </c>
      <c r="E6" t="s">
        <v>9</v>
      </c>
      <c r="F6" t="s">
        <v>37</v>
      </c>
      <c r="G6" s="5">
        <v>13391</v>
      </c>
      <c r="H6" s="3">
        <v>201</v>
      </c>
    </row>
    <row r="7" spans="2:9" x14ac:dyDescent="0.25">
      <c r="D7" t="s">
        <v>35</v>
      </c>
      <c r="E7" t="s">
        <v>17</v>
      </c>
      <c r="F7" t="s">
        <v>19</v>
      </c>
      <c r="G7" s="5">
        <v>12950</v>
      </c>
      <c r="H7" s="3">
        <v>30</v>
      </c>
    </row>
    <row r="8" spans="2:9" x14ac:dyDescent="0.25">
      <c r="D8" t="s">
        <v>5</v>
      </c>
      <c r="E8" t="s">
        <v>9</v>
      </c>
      <c r="F8" t="s">
        <v>10</v>
      </c>
      <c r="G8" s="5">
        <v>12348</v>
      </c>
      <c r="H8" s="3">
        <v>234</v>
      </c>
    </row>
    <row r="9" spans="2:9" x14ac:dyDescent="0.25">
      <c r="D9" t="s">
        <v>26</v>
      </c>
      <c r="E9" t="s">
        <v>6</v>
      </c>
      <c r="F9" t="s">
        <v>15</v>
      </c>
      <c r="G9" s="5">
        <v>11571</v>
      </c>
      <c r="H9" s="3">
        <v>138</v>
      </c>
    </row>
    <row r="10" spans="2:9" x14ac:dyDescent="0.25">
      <c r="D10" t="s">
        <v>11</v>
      </c>
      <c r="E10" t="s">
        <v>14</v>
      </c>
      <c r="F10" t="s">
        <v>39</v>
      </c>
      <c r="G10" s="5">
        <v>11522</v>
      </c>
      <c r="H10" s="3">
        <v>204</v>
      </c>
    </row>
    <row r="11" spans="2:9" x14ac:dyDescent="0.25">
      <c r="D11" t="s">
        <v>26</v>
      </c>
      <c r="E11" t="s">
        <v>14</v>
      </c>
      <c r="F11" t="s">
        <v>29</v>
      </c>
      <c r="G11" s="5">
        <v>11417</v>
      </c>
      <c r="H11" s="3">
        <v>21</v>
      </c>
    </row>
    <row r="12" spans="2:9" x14ac:dyDescent="0.25">
      <c r="D12" t="s">
        <v>13</v>
      </c>
      <c r="E12" t="s">
        <v>14</v>
      </c>
      <c r="F12" t="s">
        <v>31</v>
      </c>
      <c r="G12" s="5">
        <v>10311</v>
      </c>
      <c r="H12" s="3">
        <v>231</v>
      </c>
    </row>
    <row r="13" spans="2:9" x14ac:dyDescent="0.25">
      <c r="D13" t="s">
        <v>13</v>
      </c>
      <c r="E13" t="s">
        <v>14</v>
      </c>
      <c r="F13" t="s">
        <v>10</v>
      </c>
      <c r="G13" s="5">
        <v>10304</v>
      </c>
      <c r="H13" s="3">
        <v>84</v>
      </c>
    </row>
    <row r="14" spans="2:9" x14ac:dyDescent="0.25">
      <c r="D14" t="s">
        <v>23</v>
      </c>
      <c r="E14" t="s">
        <v>20</v>
      </c>
      <c r="F14" t="s">
        <v>7</v>
      </c>
      <c r="G14" s="5">
        <v>10129</v>
      </c>
      <c r="H14" s="3">
        <v>312</v>
      </c>
    </row>
    <row r="15" spans="2:9" x14ac:dyDescent="0.25">
      <c r="D15" t="s">
        <v>16</v>
      </c>
      <c r="E15" t="s">
        <v>14</v>
      </c>
      <c r="F15" t="s">
        <v>12</v>
      </c>
      <c r="G15" s="5">
        <v>10073</v>
      </c>
      <c r="H15" s="3">
        <v>120</v>
      </c>
    </row>
    <row r="16" spans="2:9" x14ac:dyDescent="0.25">
      <c r="D16" t="s">
        <v>26</v>
      </c>
      <c r="E16" t="s">
        <v>6</v>
      </c>
      <c r="F16" t="s">
        <v>28</v>
      </c>
      <c r="G16" s="5">
        <v>9926</v>
      </c>
      <c r="H16" s="3">
        <v>201</v>
      </c>
    </row>
    <row r="17" spans="4:8" x14ac:dyDescent="0.25">
      <c r="D17" t="s">
        <v>23</v>
      </c>
      <c r="E17" t="s">
        <v>6</v>
      </c>
      <c r="F17" t="s">
        <v>22</v>
      </c>
      <c r="G17" s="5">
        <v>9835</v>
      </c>
      <c r="H17" s="3">
        <v>207</v>
      </c>
    </row>
    <row r="18" spans="4:8" x14ac:dyDescent="0.25">
      <c r="D18" t="s">
        <v>5</v>
      </c>
      <c r="E18" t="s">
        <v>14</v>
      </c>
      <c r="F18" t="s">
        <v>19</v>
      </c>
      <c r="G18" s="5">
        <v>9772</v>
      </c>
      <c r="H18" s="3">
        <v>90</v>
      </c>
    </row>
    <row r="19" spans="4:8" x14ac:dyDescent="0.25">
      <c r="D19" t="s">
        <v>8</v>
      </c>
      <c r="E19" t="s">
        <v>6</v>
      </c>
      <c r="F19" t="s">
        <v>37</v>
      </c>
      <c r="G19" s="5">
        <v>9709</v>
      </c>
      <c r="H19" s="3">
        <v>30</v>
      </c>
    </row>
    <row r="20" spans="4:8" x14ac:dyDescent="0.25">
      <c r="D20" t="s">
        <v>8</v>
      </c>
      <c r="E20" t="s">
        <v>17</v>
      </c>
      <c r="F20" t="s">
        <v>15</v>
      </c>
      <c r="G20" s="5">
        <v>9660</v>
      </c>
      <c r="H20" s="3">
        <v>27</v>
      </c>
    </row>
    <row r="21" spans="4:8" x14ac:dyDescent="0.25">
      <c r="D21" t="s">
        <v>13</v>
      </c>
      <c r="E21" t="s">
        <v>14</v>
      </c>
      <c r="F21" t="s">
        <v>15</v>
      </c>
      <c r="G21" s="5">
        <v>9632</v>
      </c>
      <c r="H21" s="3">
        <v>288</v>
      </c>
    </row>
    <row r="22" spans="4:8" x14ac:dyDescent="0.25">
      <c r="D22" t="s">
        <v>11</v>
      </c>
      <c r="E22" t="s">
        <v>20</v>
      </c>
      <c r="F22" t="s">
        <v>19</v>
      </c>
      <c r="G22" s="5">
        <v>9506</v>
      </c>
      <c r="H22" s="3">
        <v>87</v>
      </c>
    </row>
    <row r="23" spans="4:8" x14ac:dyDescent="0.25">
      <c r="D23" t="s">
        <v>26</v>
      </c>
      <c r="E23" t="s">
        <v>17</v>
      </c>
      <c r="F23" t="s">
        <v>33</v>
      </c>
      <c r="G23" s="5">
        <v>9443</v>
      </c>
      <c r="H23" s="3">
        <v>162</v>
      </c>
    </row>
    <row r="24" spans="4:8" x14ac:dyDescent="0.25">
      <c r="D24" t="s">
        <v>27</v>
      </c>
      <c r="E24" t="s">
        <v>14</v>
      </c>
      <c r="F24" t="s">
        <v>29</v>
      </c>
      <c r="G24" s="5">
        <v>9198</v>
      </c>
      <c r="H24" s="3">
        <v>36</v>
      </c>
    </row>
    <row r="25" spans="4:8" x14ac:dyDescent="0.25">
      <c r="D25" t="s">
        <v>11</v>
      </c>
      <c r="E25" t="s">
        <v>14</v>
      </c>
      <c r="F25" t="s">
        <v>7</v>
      </c>
      <c r="G25" s="5">
        <v>9051</v>
      </c>
      <c r="H25" s="3">
        <v>57</v>
      </c>
    </row>
    <row r="26" spans="4:8" x14ac:dyDescent="0.25">
      <c r="D26" t="s">
        <v>5</v>
      </c>
      <c r="E26" t="s">
        <v>6</v>
      </c>
      <c r="F26" t="s">
        <v>32</v>
      </c>
      <c r="G26" s="5">
        <v>9002</v>
      </c>
      <c r="H26" s="3">
        <v>72</v>
      </c>
    </row>
    <row r="27" spans="4:8" x14ac:dyDescent="0.25">
      <c r="D27" t="s">
        <v>8</v>
      </c>
      <c r="E27" t="s">
        <v>17</v>
      </c>
      <c r="F27" t="s">
        <v>21</v>
      </c>
      <c r="G27" s="5">
        <v>8890</v>
      </c>
      <c r="H27" s="3">
        <v>210</v>
      </c>
    </row>
    <row r="28" spans="4:8" x14ac:dyDescent="0.25">
      <c r="D28" t="s">
        <v>5</v>
      </c>
      <c r="E28" t="s">
        <v>9</v>
      </c>
      <c r="F28" t="s">
        <v>19</v>
      </c>
      <c r="G28" s="5">
        <v>8869</v>
      </c>
      <c r="H28" s="3">
        <v>432</v>
      </c>
    </row>
    <row r="29" spans="4:8" x14ac:dyDescent="0.25">
      <c r="D29" t="s">
        <v>23</v>
      </c>
      <c r="E29" t="s">
        <v>30</v>
      </c>
      <c r="F29" t="s">
        <v>38</v>
      </c>
      <c r="G29" s="5">
        <v>8862</v>
      </c>
      <c r="H29" s="3">
        <v>189</v>
      </c>
    </row>
    <row r="30" spans="4:8" x14ac:dyDescent="0.25">
      <c r="D30" t="s">
        <v>27</v>
      </c>
      <c r="E30" t="s">
        <v>20</v>
      </c>
      <c r="F30" t="s">
        <v>42</v>
      </c>
      <c r="G30" s="5">
        <v>8841</v>
      </c>
      <c r="H30" s="3">
        <v>303</v>
      </c>
    </row>
    <row r="31" spans="4:8" x14ac:dyDescent="0.25">
      <c r="D31" t="s">
        <v>25</v>
      </c>
      <c r="E31" t="s">
        <v>6</v>
      </c>
      <c r="F31" t="s">
        <v>18</v>
      </c>
      <c r="G31" s="5">
        <v>8813</v>
      </c>
      <c r="H31" s="3">
        <v>21</v>
      </c>
    </row>
    <row r="32" spans="4:8" x14ac:dyDescent="0.25">
      <c r="D32" t="s">
        <v>11</v>
      </c>
      <c r="E32" t="s">
        <v>30</v>
      </c>
      <c r="F32" t="s">
        <v>33</v>
      </c>
      <c r="G32" s="5">
        <v>8463</v>
      </c>
      <c r="H32" s="3">
        <v>492</v>
      </c>
    </row>
    <row r="33" spans="4:8" x14ac:dyDescent="0.25">
      <c r="D33" t="s">
        <v>23</v>
      </c>
      <c r="E33" t="s">
        <v>14</v>
      </c>
      <c r="F33" t="s">
        <v>22</v>
      </c>
      <c r="G33" s="5">
        <v>8435</v>
      </c>
      <c r="H33" s="3">
        <v>42</v>
      </c>
    </row>
    <row r="34" spans="4:8" x14ac:dyDescent="0.25">
      <c r="D34" t="s">
        <v>26</v>
      </c>
      <c r="E34" t="s">
        <v>14</v>
      </c>
      <c r="F34" t="s">
        <v>32</v>
      </c>
      <c r="G34" s="5">
        <v>8211</v>
      </c>
      <c r="H34" s="3">
        <v>75</v>
      </c>
    </row>
    <row r="35" spans="4:8" x14ac:dyDescent="0.25">
      <c r="D35" t="s">
        <v>11</v>
      </c>
      <c r="E35" t="s">
        <v>30</v>
      </c>
      <c r="F35" t="s">
        <v>34</v>
      </c>
      <c r="G35" s="5">
        <v>8155</v>
      </c>
      <c r="H35" s="3">
        <v>90</v>
      </c>
    </row>
    <row r="36" spans="4:8" x14ac:dyDescent="0.25">
      <c r="D36" t="s">
        <v>16</v>
      </c>
      <c r="E36" t="s">
        <v>30</v>
      </c>
      <c r="F36" t="s">
        <v>42</v>
      </c>
      <c r="G36" s="5">
        <v>8008</v>
      </c>
      <c r="H36" s="3">
        <v>456</v>
      </c>
    </row>
    <row r="37" spans="4:8" x14ac:dyDescent="0.25">
      <c r="D37" t="s">
        <v>13</v>
      </c>
      <c r="E37" t="s">
        <v>30</v>
      </c>
      <c r="F37" t="s">
        <v>19</v>
      </c>
      <c r="G37" s="5">
        <v>7847</v>
      </c>
      <c r="H37" s="3">
        <v>174</v>
      </c>
    </row>
    <row r="38" spans="4:8" x14ac:dyDescent="0.25">
      <c r="D38" t="s">
        <v>11</v>
      </c>
      <c r="E38" t="s">
        <v>9</v>
      </c>
      <c r="F38" t="s">
        <v>37</v>
      </c>
      <c r="G38" s="5">
        <v>7833</v>
      </c>
      <c r="H38" s="3">
        <v>243</v>
      </c>
    </row>
    <row r="39" spans="4:8" x14ac:dyDescent="0.25">
      <c r="D39" t="s">
        <v>26</v>
      </c>
      <c r="E39" t="s">
        <v>17</v>
      </c>
      <c r="F39" t="s">
        <v>39</v>
      </c>
      <c r="G39" s="5">
        <v>7812</v>
      </c>
      <c r="H39" s="3">
        <v>81</v>
      </c>
    </row>
    <row r="40" spans="4:8" x14ac:dyDescent="0.25">
      <c r="D40" t="s">
        <v>27</v>
      </c>
      <c r="E40" t="s">
        <v>30</v>
      </c>
      <c r="F40" t="s">
        <v>10</v>
      </c>
      <c r="G40" s="5">
        <v>7777</v>
      </c>
      <c r="H40" s="3">
        <v>504</v>
      </c>
    </row>
    <row r="41" spans="4:8" x14ac:dyDescent="0.25">
      <c r="D41" t="s">
        <v>23</v>
      </c>
      <c r="E41" t="s">
        <v>30</v>
      </c>
      <c r="F41" t="s">
        <v>28</v>
      </c>
      <c r="G41" s="5">
        <v>7777</v>
      </c>
      <c r="H41" s="3">
        <v>39</v>
      </c>
    </row>
    <row r="42" spans="4:8" x14ac:dyDescent="0.25">
      <c r="D42" t="s">
        <v>16</v>
      </c>
      <c r="E42" t="s">
        <v>6</v>
      </c>
      <c r="F42" t="s">
        <v>21</v>
      </c>
      <c r="G42" s="5">
        <v>7693</v>
      </c>
      <c r="H42" s="3">
        <v>87</v>
      </c>
    </row>
    <row r="43" spans="4:8" x14ac:dyDescent="0.25">
      <c r="D43" t="s">
        <v>5</v>
      </c>
      <c r="E43" t="s">
        <v>6</v>
      </c>
      <c r="F43" t="s">
        <v>36</v>
      </c>
      <c r="G43" s="5">
        <v>7693</v>
      </c>
      <c r="H43" s="3">
        <v>21</v>
      </c>
    </row>
    <row r="44" spans="4:8" x14ac:dyDescent="0.25">
      <c r="D44" t="s">
        <v>26</v>
      </c>
      <c r="E44" t="s">
        <v>17</v>
      </c>
      <c r="F44" t="s">
        <v>41</v>
      </c>
      <c r="G44" s="5">
        <v>7651</v>
      </c>
      <c r="H44" s="3">
        <v>213</v>
      </c>
    </row>
    <row r="45" spans="4:8" x14ac:dyDescent="0.25">
      <c r="D45" t="s">
        <v>26</v>
      </c>
      <c r="E45" t="s">
        <v>30</v>
      </c>
      <c r="F45" t="s">
        <v>36</v>
      </c>
      <c r="G45" s="5">
        <v>7511</v>
      </c>
      <c r="H45" s="3">
        <v>120</v>
      </c>
    </row>
    <row r="46" spans="4:8" x14ac:dyDescent="0.25">
      <c r="D46" t="s">
        <v>25</v>
      </c>
      <c r="E46" t="s">
        <v>20</v>
      </c>
      <c r="F46" t="s">
        <v>18</v>
      </c>
      <c r="G46" s="5">
        <v>7483</v>
      </c>
      <c r="H46" s="3">
        <v>45</v>
      </c>
    </row>
    <row r="47" spans="4:8" x14ac:dyDescent="0.25">
      <c r="D47" t="s">
        <v>13</v>
      </c>
      <c r="E47" t="s">
        <v>9</v>
      </c>
      <c r="F47" t="s">
        <v>40</v>
      </c>
      <c r="G47" s="5">
        <v>7455</v>
      </c>
      <c r="H47" s="3">
        <v>216</v>
      </c>
    </row>
    <row r="48" spans="4:8" x14ac:dyDescent="0.25">
      <c r="D48" t="s">
        <v>16</v>
      </c>
      <c r="E48" t="s">
        <v>20</v>
      </c>
      <c r="F48" t="s">
        <v>41</v>
      </c>
      <c r="G48" s="5">
        <v>7322</v>
      </c>
      <c r="H48" s="3">
        <v>36</v>
      </c>
    </row>
    <row r="49" spans="4:8" x14ac:dyDescent="0.25">
      <c r="D49" t="s">
        <v>27</v>
      </c>
      <c r="E49" t="s">
        <v>6</v>
      </c>
      <c r="F49" t="s">
        <v>40</v>
      </c>
      <c r="G49" s="5">
        <v>7308</v>
      </c>
      <c r="H49" s="3">
        <v>327</v>
      </c>
    </row>
    <row r="50" spans="4:8" x14ac:dyDescent="0.25">
      <c r="D50" t="s">
        <v>25</v>
      </c>
      <c r="E50" t="s">
        <v>30</v>
      </c>
      <c r="F50" t="s">
        <v>37</v>
      </c>
      <c r="G50" s="5">
        <v>7280</v>
      </c>
      <c r="H50" s="3">
        <v>201</v>
      </c>
    </row>
    <row r="51" spans="4:8" x14ac:dyDescent="0.25">
      <c r="D51" t="s">
        <v>11</v>
      </c>
      <c r="E51" t="s">
        <v>6</v>
      </c>
      <c r="F51" t="s">
        <v>33</v>
      </c>
      <c r="G51" s="5">
        <v>7273</v>
      </c>
      <c r="H51" s="3">
        <v>96</v>
      </c>
    </row>
    <row r="52" spans="4:8" x14ac:dyDescent="0.25">
      <c r="D52" t="s">
        <v>27</v>
      </c>
      <c r="E52" t="s">
        <v>30</v>
      </c>
      <c r="F52" t="s">
        <v>24</v>
      </c>
      <c r="G52" s="5">
        <v>7259</v>
      </c>
      <c r="H52" s="3">
        <v>276</v>
      </c>
    </row>
    <row r="53" spans="4:8" x14ac:dyDescent="0.25">
      <c r="D53" t="s">
        <v>25</v>
      </c>
      <c r="E53" t="s">
        <v>20</v>
      </c>
      <c r="F53" t="s">
        <v>31</v>
      </c>
      <c r="G53" s="5">
        <v>7189</v>
      </c>
      <c r="H53" s="3">
        <v>54</v>
      </c>
    </row>
    <row r="54" spans="4:8" x14ac:dyDescent="0.25">
      <c r="D54" t="s">
        <v>8</v>
      </c>
      <c r="E54" t="s">
        <v>17</v>
      </c>
      <c r="F54" t="s">
        <v>7</v>
      </c>
      <c r="G54" s="5">
        <v>7021</v>
      </c>
      <c r="H54" s="3">
        <v>183</v>
      </c>
    </row>
    <row r="55" spans="4:8" x14ac:dyDescent="0.25">
      <c r="D55" t="s">
        <v>25</v>
      </c>
      <c r="E55" t="s">
        <v>30</v>
      </c>
      <c r="F55" t="s">
        <v>39</v>
      </c>
      <c r="G55" s="5">
        <v>6986</v>
      </c>
      <c r="H55" s="3">
        <v>21</v>
      </c>
    </row>
    <row r="56" spans="4:8" x14ac:dyDescent="0.25">
      <c r="D56" t="s">
        <v>25</v>
      </c>
      <c r="E56" t="s">
        <v>17</v>
      </c>
      <c r="F56" t="s">
        <v>22</v>
      </c>
      <c r="G56" s="5">
        <v>6909</v>
      </c>
      <c r="H56" s="3">
        <v>81</v>
      </c>
    </row>
    <row r="57" spans="4:8" x14ac:dyDescent="0.25">
      <c r="D57" t="s">
        <v>35</v>
      </c>
      <c r="E57" t="s">
        <v>20</v>
      </c>
      <c r="F57" t="s">
        <v>12</v>
      </c>
      <c r="G57" s="5">
        <v>6860</v>
      </c>
      <c r="H57" s="3">
        <v>126</v>
      </c>
    </row>
    <row r="58" spans="4:8" x14ac:dyDescent="0.25">
      <c r="D58" t="s">
        <v>5</v>
      </c>
      <c r="E58" t="s">
        <v>9</v>
      </c>
      <c r="F58" t="s">
        <v>22</v>
      </c>
      <c r="G58" s="5">
        <v>6853</v>
      </c>
      <c r="H58" s="3">
        <v>372</v>
      </c>
    </row>
    <row r="59" spans="4:8" x14ac:dyDescent="0.25">
      <c r="D59" t="s">
        <v>11</v>
      </c>
      <c r="E59" t="s">
        <v>30</v>
      </c>
      <c r="F59" t="s">
        <v>41</v>
      </c>
      <c r="G59" s="5">
        <v>6832</v>
      </c>
      <c r="H59" s="3">
        <v>27</v>
      </c>
    </row>
    <row r="60" spans="4:8" x14ac:dyDescent="0.25">
      <c r="D60" t="s">
        <v>16</v>
      </c>
      <c r="E60" t="s">
        <v>6</v>
      </c>
      <c r="F60" t="s">
        <v>42</v>
      </c>
      <c r="G60" s="5">
        <v>6818</v>
      </c>
      <c r="H60" s="3">
        <v>6</v>
      </c>
    </row>
    <row r="61" spans="4:8" x14ac:dyDescent="0.25">
      <c r="D61" t="s">
        <v>23</v>
      </c>
      <c r="E61" t="s">
        <v>9</v>
      </c>
      <c r="F61" t="s">
        <v>7</v>
      </c>
      <c r="G61" s="5">
        <v>6755</v>
      </c>
      <c r="H61" s="3">
        <v>252</v>
      </c>
    </row>
    <row r="62" spans="4:8" x14ac:dyDescent="0.25">
      <c r="D62" t="s">
        <v>5</v>
      </c>
      <c r="E62" t="s">
        <v>30</v>
      </c>
      <c r="F62" t="s">
        <v>42</v>
      </c>
      <c r="G62" s="5">
        <v>6748</v>
      </c>
      <c r="H62" s="3">
        <v>48</v>
      </c>
    </row>
    <row r="63" spans="4:8" x14ac:dyDescent="0.25">
      <c r="D63" t="s">
        <v>16</v>
      </c>
      <c r="E63" t="s">
        <v>30</v>
      </c>
      <c r="F63" t="s">
        <v>10</v>
      </c>
      <c r="G63" s="5">
        <v>6734</v>
      </c>
      <c r="H63" s="3">
        <v>123</v>
      </c>
    </row>
    <row r="64" spans="4:8" x14ac:dyDescent="0.25">
      <c r="D64" t="s">
        <v>8</v>
      </c>
      <c r="E64" t="s">
        <v>9</v>
      </c>
      <c r="F64" t="s">
        <v>10</v>
      </c>
      <c r="G64" s="5">
        <v>6706</v>
      </c>
      <c r="H64" s="3">
        <v>459</v>
      </c>
    </row>
    <row r="65" spans="4:8" x14ac:dyDescent="0.25">
      <c r="D65" t="s">
        <v>35</v>
      </c>
      <c r="E65" t="s">
        <v>14</v>
      </c>
      <c r="F65" t="s">
        <v>10</v>
      </c>
      <c r="G65" s="5">
        <v>6657</v>
      </c>
      <c r="H65" s="3">
        <v>303</v>
      </c>
    </row>
    <row r="66" spans="4:8" x14ac:dyDescent="0.25">
      <c r="D66" t="s">
        <v>27</v>
      </c>
      <c r="E66" t="s">
        <v>9</v>
      </c>
      <c r="F66" t="s">
        <v>37</v>
      </c>
      <c r="G66" s="5">
        <v>6657</v>
      </c>
      <c r="H66" s="3">
        <v>276</v>
      </c>
    </row>
    <row r="67" spans="4:8" x14ac:dyDescent="0.25">
      <c r="D67" t="s">
        <v>23</v>
      </c>
      <c r="E67" t="s">
        <v>6</v>
      </c>
      <c r="F67" t="s">
        <v>24</v>
      </c>
      <c r="G67" s="5">
        <v>6608</v>
      </c>
      <c r="H67" s="3">
        <v>225</v>
      </c>
    </row>
    <row r="68" spans="4:8" x14ac:dyDescent="0.25">
      <c r="D68" t="s">
        <v>26</v>
      </c>
      <c r="E68" t="s">
        <v>20</v>
      </c>
      <c r="F68" t="s">
        <v>40</v>
      </c>
      <c r="G68" s="5">
        <v>6580</v>
      </c>
      <c r="H68" s="3">
        <v>183</v>
      </c>
    </row>
    <row r="69" spans="4:8" x14ac:dyDescent="0.25">
      <c r="D69" t="s">
        <v>23</v>
      </c>
      <c r="E69" t="s">
        <v>6</v>
      </c>
      <c r="F69" t="s">
        <v>7</v>
      </c>
      <c r="G69" s="5">
        <v>6454</v>
      </c>
      <c r="H69" s="3">
        <v>54</v>
      </c>
    </row>
    <row r="70" spans="4:8" x14ac:dyDescent="0.25">
      <c r="D70" t="s">
        <v>8</v>
      </c>
      <c r="E70" t="s">
        <v>20</v>
      </c>
      <c r="F70" t="s">
        <v>41</v>
      </c>
      <c r="G70" s="5">
        <v>6433</v>
      </c>
      <c r="H70" s="3">
        <v>78</v>
      </c>
    </row>
    <row r="71" spans="4:8" x14ac:dyDescent="0.25">
      <c r="D71" t="s">
        <v>13</v>
      </c>
      <c r="E71" t="s">
        <v>6</v>
      </c>
      <c r="F71" t="s">
        <v>38</v>
      </c>
      <c r="G71" s="5">
        <v>6398</v>
      </c>
      <c r="H71" s="3">
        <v>102</v>
      </c>
    </row>
    <row r="72" spans="4:8" x14ac:dyDescent="0.25">
      <c r="D72" t="s">
        <v>23</v>
      </c>
      <c r="E72" t="s">
        <v>6</v>
      </c>
      <c r="F72" t="s">
        <v>19</v>
      </c>
      <c r="G72" s="5">
        <v>6391</v>
      </c>
      <c r="H72" s="3">
        <v>48</v>
      </c>
    </row>
    <row r="73" spans="4:8" x14ac:dyDescent="0.25">
      <c r="D73" t="s">
        <v>5</v>
      </c>
      <c r="E73" t="s">
        <v>17</v>
      </c>
      <c r="F73" t="s">
        <v>39</v>
      </c>
      <c r="G73" s="5">
        <v>6370</v>
      </c>
      <c r="H73" s="3">
        <v>30</v>
      </c>
    </row>
    <row r="74" spans="4:8" x14ac:dyDescent="0.25">
      <c r="D74" t="s">
        <v>25</v>
      </c>
      <c r="E74" t="s">
        <v>14</v>
      </c>
      <c r="F74" t="s">
        <v>34</v>
      </c>
      <c r="G74" s="5">
        <v>6314</v>
      </c>
      <c r="H74" s="3">
        <v>15</v>
      </c>
    </row>
    <row r="75" spans="4:8" x14ac:dyDescent="0.25">
      <c r="D75" t="s">
        <v>27</v>
      </c>
      <c r="E75" t="s">
        <v>30</v>
      </c>
      <c r="F75" t="s">
        <v>18</v>
      </c>
      <c r="G75" s="5">
        <v>6300</v>
      </c>
      <c r="H75" s="3">
        <v>42</v>
      </c>
    </row>
    <row r="76" spans="4:8" x14ac:dyDescent="0.25">
      <c r="D76" t="s">
        <v>8</v>
      </c>
      <c r="E76" t="s">
        <v>6</v>
      </c>
      <c r="F76" t="s">
        <v>42</v>
      </c>
      <c r="G76" s="5">
        <v>6279</v>
      </c>
      <c r="H76" s="3">
        <v>45</v>
      </c>
    </row>
    <row r="77" spans="4:8" x14ac:dyDescent="0.25">
      <c r="D77" t="s">
        <v>25</v>
      </c>
      <c r="E77" t="s">
        <v>30</v>
      </c>
      <c r="F77" t="s">
        <v>22</v>
      </c>
      <c r="G77" s="5">
        <v>6279</v>
      </c>
      <c r="H77" s="3">
        <v>237</v>
      </c>
    </row>
    <row r="78" spans="4:8" x14ac:dyDescent="0.25">
      <c r="D78" t="s">
        <v>25</v>
      </c>
      <c r="E78" t="s">
        <v>14</v>
      </c>
      <c r="F78" t="s">
        <v>31</v>
      </c>
      <c r="G78" s="5">
        <v>6146</v>
      </c>
      <c r="H78" s="3">
        <v>63</v>
      </c>
    </row>
    <row r="79" spans="4:8" x14ac:dyDescent="0.25">
      <c r="D79" t="s">
        <v>5</v>
      </c>
      <c r="E79" t="s">
        <v>6</v>
      </c>
      <c r="F79" t="s">
        <v>39</v>
      </c>
      <c r="G79" s="5">
        <v>6132</v>
      </c>
      <c r="H79" s="3">
        <v>93</v>
      </c>
    </row>
    <row r="80" spans="4:8" x14ac:dyDescent="0.25">
      <c r="D80" t="s">
        <v>5</v>
      </c>
      <c r="E80" t="s">
        <v>20</v>
      </c>
      <c r="F80" t="s">
        <v>12</v>
      </c>
      <c r="G80" s="5">
        <v>6125</v>
      </c>
      <c r="H80" s="3">
        <v>102</v>
      </c>
    </row>
    <row r="81" spans="4:8" x14ac:dyDescent="0.25">
      <c r="D81" t="s">
        <v>16</v>
      </c>
      <c r="E81" t="s">
        <v>14</v>
      </c>
      <c r="F81" t="s">
        <v>10</v>
      </c>
      <c r="G81" s="5">
        <v>6118</v>
      </c>
      <c r="H81" s="3">
        <v>9</v>
      </c>
    </row>
    <row r="82" spans="4:8" x14ac:dyDescent="0.25">
      <c r="D82" t="s">
        <v>13</v>
      </c>
      <c r="E82" t="s">
        <v>14</v>
      </c>
      <c r="F82" t="s">
        <v>7</v>
      </c>
      <c r="G82" s="5">
        <v>6118</v>
      </c>
      <c r="H82" s="3">
        <v>174</v>
      </c>
    </row>
    <row r="83" spans="4:8" x14ac:dyDescent="0.25">
      <c r="D83" t="s">
        <v>25</v>
      </c>
      <c r="E83" t="s">
        <v>14</v>
      </c>
      <c r="F83" t="s">
        <v>15</v>
      </c>
      <c r="G83" s="5">
        <v>6111</v>
      </c>
      <c r="H83" s="3">
        <v>3</v>
      </c>
    </row>
    <row r="84" spans="4:8" x14ac:dyDescent="0.25">
      <c r="D84" t="s">
        <v>16</v>
      </c>
      <c r="E84" t="s">
        <v>17</v>
      </c>
      <c r="F84" t="s">
        <v>28</v>
      </c>
      <c r="G84" s="5">
        <v>6048</v>
      </c>
      <c r="H84" s="3">
        <v>27</v>
      </c>
    </row>
    <row r="85" spans="4:8" x14ac:dyDescent="0.25">
      <c r="D85" t="s">
        <v>26</v>
      </c>
      <c r="E85" t="s">
        <v>17</v>
      </c>
      <c r="F85" t="s">
        <v>40</v>
      </c>
      <c r="G85" s="5">
        <v>6027</v>
      </c>
      <c r="H85" s="3">
        <v>144</v>
      </c>
    </row>
    <row r="86" spans="4:8" x14ac:dyDescent="0.25">
      <c r="D86" t="s">
        <v>13</v>
      </c>
      <c r="E86" t="s">
        <v>20</v>
      </c>
      <c r="F86" t="s">
        <v>22</v>
      </c>
      <c r="G86" s="5">
        <v>5915</v>
      </c>
      <c r="H86" s="3">
        <v>3</v>
      </c>
    </row>
    <row r="87" spans="4:8" x14ac:dyDescent="0.25">
      <c r="D87" t="s">
        <v>5</v>
      </c>
      <c r="E87" t="s">
        <v>17</v>
      </c>
      <c r="F87" t="s">
        <v>22</v>
      </c>
      <c r="G87" s="5">
        <v>5817</v>
      </c>
      <c r="H87" s="3">
        <v>12</v>
      </c>
    </row>
    <row r="88" spans="4:8" x14ac:dyDescent="0.25">
      <c r="D88" t="s">
        <v>5</v>
      </c>
      <c r="E88" t="s">
        <v>17</v>
      </c>
      <c r="F88" t="s">
        <v>37</v>
      </c>
      <c r="G88" s="5">
        <v>5775</v>
      </c>
      <c r="H88" s="3">
        <v>42</v>
      </c>
    </row>
    <row r="89" spans="4:8" x14ac:dyDescent="0.25">
      <c r="D89" t="s">
        <v>23</v>
      </c>
      <c r="E89" t="s">
        <v>20</v>
      </c>
      <c r="F89" t="s">
        <v>40</v>
      </c>
      <c r="G89" s="5">
        <v>5677</v>
      </c>
      <c r="H89" s="3">
        <v>258</v>
      </c>
    </row>
    <row r="90" spans="4:8" x14ac:dyDescent="0.25">
      <c r="D90" t="s">
        <v>5</v>
      </c>
      <c r="E90" t="s">
        <v>20</v>
      </c>
      <c r="F90" t="s">
        <v>31</v>
      </c>
      <c r="G90" s="5">
        <v>5670</v>
      </c>
      <c r="H90" s="3">
        <v>297</v>
      </c>
    </row>
    <row r="91" spans="4:8" x14ac:dyDescent="0.25">
      <c r="D91" t="s">
        <v>35</v>
      </c>
      <c r="E91" t="s">
        <v>20</v>
      </c>
      <c r="F91" t="s">
        <v>24</v>
      </c>
      <c r="G91" s="5">
        <v>5586</v>
      </c>
      <c r="H91" s="3">
        <v>525</v>
      </c>
    </row>
    <row r="92" spans="4:8" x14ac:dyDescent="0.25">
      <c r="D92" t="s">
        <v>23</v>
      </c>
      <c r="E92" t="s">
        <v>14</v>
      </c>
      <c r="F92" t="s">
        <v>32</v>
      </c>
      <c r="G92" s="5">
        <v>5551</v>
      </c>
      <c r="H92" s="3">
        <v>252</v>
      </c>
    </row>
    <row r="93" spans="4:8" x14ac:dyDescent="0.25">
      <c r="D93" t="s">
        <v>25</v>
      </c>
      <c r="E93" t="s">
        <v>20</v>
      </c>
      <c r="F93" t="s">
        <v>36</v>
      </c>
      <c r="G93" s="5">
        <v>5474</v>
      </c>
      <c r="H93" s="3">
        <v>168</v>
      </c>
    </row>
    <row r="94" spans="4:8" x14ac:dyDescent="0.25">
      <c r="D94" t="s">
        <v>5</v>
      </c>
      <c r="E94" t="s">
        <v>14</v>
      </c>
      <c r="F94" t="s">
        <v>18</v>
      </c>
      <c r="G94" s="5">
        <v>5439</v>
      </c>
      <c r="H94" s="3">
        <v>30</v>
      </c>
    </row>
    <row r="95" spans="4:8" x14ac:dyDescent="0.25">
      <c r="D95" t="s">
        <v>35</v>
      </c>
      <c r="E95" t="s">
        <v>30</v>
      </c>
      <c r="F95" t="s">
        <v>36</v>
      </c>
      <c r="G95" s="5">
        <v>5355</v>
      </c>
      <c r="H95" s="3">
        <v>204</v>
      </c>
    </row>
    <row r="96" spans="4:8" x14ac:dyDescent="0.25">
      <c r="D96" t="s">
        <v>23</v>
      </c>
      <c r="E96" t="s">
        <v>6</v>
      </c>
      <c r="F96" t="s">
        <v>42</v>
      </c>
      <c r="G96" s="5">
        <v>5306</v>
      </c>
      <c r="H96" s="3">
        <v>0</v>
      </c>
    </row>
    <row r="97" spans="4:8" x14ac:dyDescent="0.25">
      <c r="D97" t="s">
        <v>25</v>
      </c>
      <c r="E97" t="s">
        <v>17</v>
      </c>
      <c r="F97" t="s">
        <v>42</v>
      </c>
      <c r="G97" s="5">
        <v>5236</v>
      </c>
      <c r="H97" s="3">
        <v>51</v>
      </c>
    </row>
    <row r="98" spans="4:8" x14ac:dyDescent="0.25">
      <c r="D98" t="s">
        <v>23</v>
      </c>
      <c r="E98" t="s">
        <v>9</v>
      </c>
      <c r="F98" t="s">
        <v>40</v>
      </c>
      <c r="G98" s="5">
        <v>5194</v>
      </c>
      <c r="H98" s="3">
        <v>288</v>
      </c>
    </row>
    <row r="99" spans="4:8" x14ac:dyDescent="0.25">
      <c r="D99" t="s">
        <v>25</v>
      </c>
      <c r="E99" t="s">
        <v>20</v>
      </c>
      <c r="F99" t="s">
        <v>10</v>
      </c>
      <c r="G99" s="5">
        <v>5075</v>
      </c>
      <c r="H99" s="3">
        <v>21</v>
      </c>
    </row>
    <row r="100" spans="4:8" x14ac:dyDescent="0.25">
      <c r="D100" t="s">
        <v>5</v>
      </c>
      <c r="E100" t="s">
        <v>30</v>
      </c>
      <c r="F100" t="s">
        <v>28</v>
      </c>
      <c r="G100" s="5">
        <v>5019</v>
      </c>
      <c r="H100" s="3">
        <v>156</v>
      </c>
    </row>
    <row r="101" spans="4:8" x14ac:dyDescent="0.25">
      <c r="D101" t="s">
        <v>8</v>
      </c>
      <c r="E101" t="s">
        <v>14</v>
      </c>
      <c r="F101" t="s">
        <v>34</v>
      </c>
      <c r="G101" s="5">
        <v>5019</v>
      </c>
      <c r="H101" s="3">
        <v>150</v>
      </c>
    </row>
    <row r="102" spans="4:8" x14ac:dyDescent="0.25">
      <c r="D102" t="s">
        <v>8</v>
      </c>
      <c r="E102" t="s">
        <v>9</v>
      </c>
      <c r="F102" t="s">
        <v>22</v>
      </c>
      <c r="G102" s="5">
        <v>5012</v>
      </c>
      <c r="H102" s="3">
        <v>210</v>
      </c>
    </row>
    <row r="103" spans="4:8" x14ac:dyDescent="0.25">
      <c r="D103" t="s">
        <v>25</v>
      </c>
      <c r="E103" t="s">
        <v>6</v>
      </c>
      <c r="F103" t="s">
        <v>24</v>
      </c>
      <c r="G103" s="5">
        <v>4991</v>
      </c>
      <c r="H103" s="3">
        <v>12</v>
      </c>
    </row>
    <row r="104" spans="4:8" x14ac:dyDescent="0.25">
      <c r="D104" t="s">
        <v>35</v>
      </c>
      <c r="E104" t="s">
        <v>30</v>
      </c>
      <c r="F104" t="s">
        <v>42</v>
      </c>
      <c r="G104" s="5">
        <v>4991</v>
      </c>
      <c r="H104" s="3">
        <v>9</v>
      </c>
    </row>
    <row r="105" spans="4:8" x14ac:dyDescent="0.25">
      <c r="D105" t="s">
        <v>16</v>
      </c>
      <c r="E105" t="s">
        <v>14</v>
      </c>
      <c r="F105" t="s">
        <v>28</v>
      </c>
      <c r="G105" s="5">
        <v>4970</v>
      </c>
      <c r="H105" s="3">
        <v>156</v>
      </c>
    </row>
    <row r="106" spans="4:8" x14ac:dyDescent="0.25">
      <c r="D106" t="s">
        <v>27</v>
      </c>
      <c r="E106" t="s">
        <v>17</v>
      </c>
      <c r="F106" t="s">
        <v>42</v>
      </c>
      <c r="G106" s="5">
        <v>4956</v>
      </c>
      <c r="H106" s="3">
        <v>171</v>
      </c>
    </row>
    <row r="107" spans="4:8" x14ac:dyDescent="0.25">
      <c r="D107" t="s">
        <v>16</v>
      </c>
      <c r="E107" t="s">
        <v>6</v>
      </c>
      <c r="F107" t="s">
        <v>34</v>
      </c>
      <c r="G107" s="5">
        <v>4949</v>
      </c>
      <c r="H107" s="3">
        <v>189</v>
      </c>
    </row>
    <row r="108" spans="4:8" x14ac:dyDescent="0.25">
      <c r="D108" t="s">
        <v>13</v>
      </c>
      <c r="E108" t="s">
        <v>30</v>
      </c>
      <c r="F108" t="s">
        <v>34</v>
      </c>
      <c r="G108" s="5">
        <v>4935</v>
      </c>
      <c r="H108" s="3">
        <v>126</v>
      </c>
    </row>
    <row r="109" spans="4:8" x14ac:dyDescent="0.25">
      <c r="D109" t="s">
        <v>35</v>
      </c>
      <c r="E109" t="s">
        <v>17</v>
      </c>
      <c r="F109" t="s">
        <v>41</v>
      </c>
      <c r="G109" s="5">
        <v>4858</v>
      </c>
      <c r="H109" s="3">
        <v>279</v>
      </c>
    </row>
    <row r="110" spans="4:8" x14ac:dyDescent="0.25">
      <c r="D110" t="s">
        <v>26</v>
      </c>
      <c r="E110" t="s">
        <v>17</v>
      </c>
      <c r="F110" t="s">
        <v>37</v>
      </c>
      <c r="G110" s="5">
        <v>4802</v>
      </c>
      <c r="H110" s="3">
        <v>36</v>
      </c>
    </row>
    <row r="111" spans="4:8" x14ac:dyDescent="0.25">
      <c r="D111" t="s">
        <v>16</v>
      </c>
      <c r="E111" t="s">
        <v>9</v>
      </c>
      <c r="F111" t="s">
        <v>7</v>
      </c>
      <c r="G111" s="5">
        <v>4781</v>
      </c>
      <c r="H111" s="3">
        <v>123</v>
      </c>
    </row>
    <row r="112" spans="4:8" x14ac:dyDescent="0.25">
      <c r="D112" t="s">
        <v>13</v>
      </c>
      <c r="E112" t="s">
        <v>9</v>
      </c>
      <c r="F112" t="s">
        <v>31</v>
      </c>
      <c r="G112" s="5">
        <v>4760</v>
      </c>
      <c r="H112" s="3">
        <v>69</v>
      </c>
    </row>
    <row r="113" spans="4:8" x14ac:dyDescent="0.25">
      <c r="D113" t="s">
        <v>8</v>
      </c>
      <c r="E113" t="s">
        <v>9</v>
      </c>
      <c r="F113" t="s">
        <v>39</v>
      </c>
      <c r="G113" s="5">
        <v>4753</v>
      </c>
      <c r="H113" s="3">
        <v>300</v>
      </c>
    </row>
    <row r="114" spans="4:8" x14ac:dyDescent="0.25">
      <c r="D114" t="s">
        <v>25</v>
      </c>
      <c r="E114" t="s">
        <v>9</v>
      </c>
      <c r="F114" t="s">
        <v>21</v>
      </c>
      <c r="G114" s="5">
        <v>4753</v>
      </c>
      <c r="H114" s="3">
        <v>246</v>
      </c>
    </row>
    <row r="115" spans="4:8" x14ac:dyDescent="0.25">
      <c r="D115" t="s">
        <v>5</v>
      </c>
      <c r="E115" t="s">
        <v>9</v>
      </c>
      <c r="F115" t="s">
        <v>29</v>
      </c>
      <c r="G115" s="5">
        <v>4725</v>
      </c>
      <c r="H115" s="3">
        <v>174</v>
      </c>
    </row>
    <row r="116" spans="4:8" x14ac:dyDescent="0.25">
      <c r="D116" t="s">
        <v>35</v>
      </c>
      <c r="E116" t="s">
        <v>6</v>
      </c>
      <c r="F116" t="s">
        <v>34</v>
      </c>
      <c r="G116" s="5">
        <v>4683</v>
      </c>
      <c r="H116" s="3">
        <v>30</v>
      </c>
    </row>
    <row r="117" spans="4:8" x14ac:dyDescent="0.25">
      <c r="D117" t="s">
        <v>23</v>
      </c>
      <c r="E117" t="s">
        <v>9</v>
      </c>
      <c r="F117" t="s">
        <v>24</v>
      </c>
      <c r="G117" s="5">
        <v>4606</v>
      </c>
      <c r="H117" s="3">
        <v>63</v>
      </c>
    </row>
    <row r="118" spans="4:8" x14ac:dyDescent="0.25">
      <c r="D118" t="s">
        <v>27</v>
      </c>
      <c r="E118" t="s">
        <v>6</v>
      </c>
      <c r="F118" t="s">
        <v>32</v>
      </c>
      <c r="G118" s="5">
        <v>4592</v>
      </c>
      <c r="H118" s="3">
        <v>324</v>
      </c>
    </row>
    <row r="119" spans="4:8" x14ac:dyDescent="0.25">
      <c r="D119" t="s">
        <v>23</v>
      </c>
      <c r="E119" t="s">
        <v>9</v>
      </c>
      <c r="F119" t="s">
        <v>36</v>
      </c>
      <c r="G119" s="5">
        <v>4585</v>
      </c>
      <c r="H119" s="3">
        <v>240</v>
      </c>
    </row>
    <row r="120" spans="4:8" x14ac:dyDescent="0.25">
      <c r="D120" t="s">
        <v>23</v>
      </c>
      <c r="E120" t="s">
        <v>6</v>
      </c>
      <c r="F120" t="s">
        <v>28</v>
      </c>
      <c r="G120" s="5">
        <v>4487</v>
      </c>
      <c r="H120" s="3">
        <v>111</v>
      </c>
    </row>
    <row r="121" spans="4:8" x14ac:dyDescent="0.25">
      <c r="D121" t="s">
        <v>23</v>
      </c>
      <c r="E121" t="s">
        <v>6</v>
      </c>
      <c r="F121" t="s">
        <v>29</v>
      </c>
      <c r="G121" s="5">
        <v>4487</v>
      </c>
      <c r="H121" s="3">
        <v>333</v>
      </c>
    </row>
    <row r="122" spans="4:8" x14ac:dyDescent="0.25">
      <c r="D122" t="s">
        <v>25</v>
      </c>
      <c r="E122" t="s">
        <v>9</v>
      </c>
      <c r="F122" t="s">
        <v>32</v>
      </c>
      <c r="G122" s="5">
        <v>4480</v>
      </c>
      <c r="H122" s="3">
        <v>357</v>
      </c>
    </row>
    <row r="123" spans="4:8" x14ac:dyDescent="0.25">
      <c r="D123" t="s">
        <v>23</v>
      </c>
      <c r="E123" t="s">
        <v>17</v>
      </c>
      <c r="F123" t="s">
        <v>28</v>
      </c>
      <c r="G123" s="5">
        <v>4438</v>
      </c>
      <c r="H123" s="3">
        <v>246</v>
      </c>
    </row>
    <row r="124" spans="4:8" x14ac:dyDescent="0.25">
      <c r="D124" t="s">
        <v>5</v>
      </c>
      <c r="E124" t="s">
        <v>14</v>
      </c>
      <c r="F124" t="s">
        <v>31</v>
      </c>
      <c r="G124" s="5">
        <v>4424</v>
      </c>
      <c r="H124" s="3">
        <v>201</v>
      </c>
    </row>
    <row r="125" spans="4:8" x14ac:dyDescent="0.25">
      <c r="D125" t="s">
        <v>26</v>
      </c>
      <c r="E125" t="s">
        <v>20</v>
      </c>
      <c r="F125" t="s">
        <v>34</v>
      </c>
      <c r="G125" s="5">
        <v>4417</v>
      </c>
      <c r="H125" s="3">
        <v>153</v>
      </c>
    </row>
    <row r="126" spans="4:8" x14ac:dyDescent="0.25">
      <c r="D126" t="s">
        <v>26</v>
      </c>
      <c r="E126" t="s">
        <v>20</v>
      </c>
      <c r="F126" t="s">
        <v>21</v>
      </c>
      <c r="G126" s="5">
        <v>4326</v>
      </c>
      <c r="H126" s="3">
        <v>348</v>
      </c>
    </row>
    <row r="127" spans="4:8" x14ac:dyDescent="0.25">
      <c r="D127" t="s">
        <v>16</v>
      </c>
      <c r="E127" t="s">
        <v>14</v>
      </c>
      <c r="F127" t="s">
        <v>31</v>
      </c>
      <c r="G127" s="5">
        <v>4319</v>
      </c>
      <c r="H127" s="3">
        <v>30</v>
      </c>
    </row>
    <row r="128" spans="4:8" x14ac:dyDescent="0.25">
      <c r="D128" t="s">
        <v>11</v>
      </c>
      <c r="E128" t="s">
        <v>6</v>
      </c>
      <c r="F128" t="s">
        <v>18</v>
      </c>
      <c r="G128" s="5">
        <v>4305</v>
      </c>
      <c r="H128" s="3">
        <v>156</v>
      </c>
    </row>
    <row r="129" spans="4:8" x14ac:dyDescent="0.25">
      <c r="D129" t="s">
        <v>16</v>
      </c>
      <c r="E129" t="s">
        <v>30</v>
      </c>
      <c r="F129" t="s">
        <v>39</v>
      </c>
      <c r="G129" s="5">
        <v>4242</v>
      </c>
      <c r="H129" s="3">
        <v>207</v>
      </c>
    </row>
    <row r="130" spans="4:8" x14ac:dyDescent="0.25">
      <c r="D130" t="s">
        <v>11</v>
      </c>
      <c r="E130" t="s">
        <v>20</v>
      </c>
      <c r="F130" t="s">
        <v>38</v>
      </c>
      <c r="G130" s="5">
        <v>4137</v>
      </c>
      <c r="H130" s="3">
        <v>60</v>
      </c>
    </row>
    <row r="131" spans="4:8" x14ac:dyDescent="0.25">
      <c r="D131" t="s">
        <v>35</v>
      </c>
      <c r="E131" t="s">
        <v>30</v>
      </c>
      <c r="F131" t="s">
        <v>22</v>
      </c>
      <c r="G131" s="5">
        <v>4053</v>
      </c>
      <c r="H131" s="3">
        <v>24</v>
      </c>
    </row>
    <row r="132" spans="4:8" x14ac:dyDescent="0.25">
      <c r="D132" t="s">
        <v>5</v>
      </c>
      <c r="E132" t="s">
        <v>30</v>
      </c>
      <c r="F132" t="s">
        <v>36</v>
      </c>
      <c r="G132" s="5">
        <v>4018</v>
      </c>
      <c r="H132" s="3">
        <v>162</v>
      </c>
    </row>
    <row r="133" spans="4:8" x14ac:dyDescent="0.25">
      <c r="D133" t="s">
        <v>25</v>
      </c>
      <c r="E133" t="s">
        <v>17</v>
      </c>
      <c r="F133" t="s">
        <v>38</v>
      </c>
      <c r="G133" s="5">
        <v>4018</v>
      </c>
      <c r="H133" s="3">
        <v>171</v>
      </c>
    </row>
    <row r="134" spans="4:8" x14ac:dyDescent="0.25">
      <c r="D134" t="s">
        <v>26</v>
      </c>
      <c r="E134" t="s">
        <v>17</v>
      </c>
      <c r="F134" t="s">
        <v>19</v>
      </c>
      <c r="G134" s="5">
        <v>4018</v>
      </c>
      <c r="H134" s="3">
        <v>126</v>
      </c>
    </row>
    <row r="135" spans="4:8" x14ac:dyDescent="0.25">
      <c r="D135" t="s">
        <v>27</v>
      </c>
      <c r="E135" t="s">
        <v>6</v>
      </c>
      <c r="F135" t="s">
        <v>28</v>
      </c>
      <c r="G135" s="5">
        <v>3983</v>
      </c>
      <c r="H135" s="3">
        <v>144</v>
      </c>
    </row>
    <row r="136" spans="4:8" x14ac:dyDescent="0.25">
      <c r="D136" t="s">
        <v>13</v>
      </c>
      <c r="E136" t="s">
        <v>17</v>
      </c>
      <c r="F136" t="s">
        <v>24</v>
      </c>
      <c r="G136" s="5">
        <v>3976</v>
      </c>
      <c r="H136" s="3">
        <v>72</v>
      </c>
    </row>
    <row r="137" spans="4:8" x14ac:dyDescent="0.25">
      <c r="D137" t="s">
        <v>11</v>
      </c>
      <c r="E137" t="s">
        <v>17</v>
      </c>
      <c r="F137" t="s">
        <v>38</v>
      </c>
      <c r="G137" s="5">
        <v>3920</v>
      </c>
      <c r="H137" s="3">
        <v>306</v>
      </c>
    </row>
    <row r="138" spans="4:8" x14ac:dyDescent="0.25">
      <c r="D138" t="s">
        <v>16</v>
      </c>
      <c r="E138" t="s">
        <v>9</v>
      </c>
      <c r="F138" t="s">
        <v>39</v>
      </c>
      <c r="G138" s="5">
        <v>3864</v>
      </c>
      <c r="H138" s="3">
        <v>177</v>
      </c>
    </row>
    <row r="139" spans="4:8" x14ac:dyDescent="0.25">
      <c r="D139" t="s">
        <v>11</v>
      </c>
      <c r="E139" t="s">
        <v>20</v>
      </c>
      <c r="F139" t="s">
        <v>18</v>
      </c>
      <c r="G139" s="5">
        <v>3850</v>
      </c>
      <c r="H139" s="3">
        <v>102</v>
      </c>
    </row>
    <row r="140" spans="4:8" x14ac:dyDescent="0.25">
      <c r="D140" t="s">
        <v>23</v>
      </c>
      <c r="E140" t="s">
        <v>30</v>
      </c>
      <c r="F140" t="s">
        <v>37</v>
      </c>
      <c r="G140" s="5">
        <v>3829</v>
      </c>
      <c r="H140" s="3">
        <v>24</v>
      </c>
    </row>
    <row r="141" spans="4:8" x14ac:dyDescent="0.25">
      <c r="D141" t="s">
        <v>35</v>
      </c>
      <c r="E141" t="s">
        <v>9</v>
      </c>
      <c r="F141" t="s">
        <v>15</v>
      </c>
      <c r="G141" s="5">
        <v>3808</v>
      </c>
      <c r="H141" s="3">
        <v>279</v>
      </c>
    </row>
    <row r="142" spans="4:8" x14ac:dyDescent="0.25">
      <c r="D142" t="s">
        <v>5</v>
      </c>
      <c r="E142" t="s">
        <v>30</v>
      </c>
      <c r="F142" t="s">
        <v>19</v>
      </c>
      <c r="G142" s="5">
        <v>3794</v>
      </c>
      <c r="H142" s="3">
        <v>159</v>
      </c>
    </row>
    <row r="143" spans="4:8" x14ac:dyDescent="0.25">
      <c r="D143" t="s">
        <v>27</v>
      </c>
      <c r="E143" t="s">
        <v>14</v>
      </c>
      <c r="F143" t="s">
        <v>34</v>
      </c>
      <c r="G143" s="5">
        <v>3773</v>
      </c>
      <c r="H143" s="3">
        <v>165</v>
      </c>
    </row>
    <row r="144" spans="4:8" x14ac:dyDescent="0.25">
      <c r="D144" t="s">
        <v>16</v>
      </c>
      <c r="E144" t="s">
        <v>30</v>
      </c>
      <c r="F144" t="s">
        <v>28</v>
      </c>
      <c r="G144" s="5">
        <v>3759</v>
      </c>
      <c r="H144" s="3">
        <v>150</v>
      </c>
    </row>
    <row r="145" spans="4:8" x14ac:dyDescent="0.25">
      <c r="D145" t="s">
        <v>8</v>
      </c>
      <c r="E145" t="s">
        <v>20</v>
      </c>
      <c r="F145" t="s">
        <v>10</v>
      </c>
      <c r="G145" s="5">
        <v>3752</v>
      </c>
      <c r="H145" s="3">
        <v>213</v>
      </c>
    </row>
    <row r="146" spans="4:8" x14ac:dyDescent="0.25">
      <c r="D146" t="s">
        <v>27</v>
      </c>
      <c r="E146" t="s">
        <v>30</v>
      </c>
      <c r="F146" t="s">
        <v>40</v>
      </c>
      <c r="G146" s="5">
        <v>3689</v>
      </c>
      <c r="H146" s="3">
        <v>312</v>
      </c>
    </row>
    <row r="147" spans="4:8" x14ac:dyDescent="0.25">
      <c r="D147" t="s">
        <v>27</v>
      </c>
      <c r="E147" t="s">
        <v>17</v>
      </c>
      <c r="F147" t="s">
        <v>32</v>
      </c>
      <c r="G147" s="5">
        <v>3640</v>
      </c>
      <c r="H147" s="3">
        <v>51</v>
      </c>
    </row>
    <row r="148" spans="4:8" x14ac:dyDescent="0.25">
      <c r="D148" t="s">
        <v>8</v>
      </c>
      <c r="E148" t="s">
        <v>9</v>
      </c>
      <c r="F148" t="s">
        <v>7</v>
      </c>
      <c r="G148" s="5">
        <v>3598</v>
      </c>
      <c r="H148" s="3">
        <v>81</v>
      </c>
    </row>
    <row r="149" spans="4:8" x14ac:dyDescent="0.25">
      <c r="D149" t="s">
        <v>16</v>
      </c>
      <c r="E149" t="s">
        <v>6</v>
      </c>
      <c r="F149" t="s">
        <v>40</v>
      </c>
      <c r="G149" s="5">
        <v>3556</v>
      </c>
      <c r="H149" s="3">
        <v>459</v>
      </c>
    </row>
    <row r="150" spans="4:8" x14ac:dyDescent="0.25">
      <c r="D150" t="s">
        <v>26</v>
      </c>
      <c r="E150" t="s">
        <v>20</v>
      </c>
      <c r="F150" t="s">
        <v>12</v>
      </c>
      <c r="G150" s="5">
        <v>3549</v>
      </c>
      <c r="H150" s="3">
        <v>3</v>
      </c>
    </row>
    <row r="151" spans="4:8" x14ac:dyDescent="0.25">
      <c r="D151" t="s">
        <v>8</v>
      </c>
      <c r="E151" t="s">
        <v>30</v>
      </c>
      <c r="F151" t="s">
        <v>21</v>
      </c>
      <c r="G151" s="5">
        <v>3507</v>
      </c>
      <c r="H151" s="3">
        <v>288</v>
      </c>
    </row>
    <row r="152" spans="4:8" x14ac:dyDescent="0.25">
      <c r="D152" t="s">
        <v>35</v>
      </c>
      <c r="E152" t="s">
        <v>9</v>
      </c>
      <c r="F152" t="s">
        <v>24</v>
      </c>
      <c r="G152" s="5">
        <v>3472</v>
      </c>
      <c r="H152" s="3">
        <v>96</v>
      </c>
    </row>
    <row r="153" spans="4:8" x14ac:dyDescent="0.25">
      <c r="D153" t="s">
        <v>16</v>
      </c>
      <c r="E153" t="s">
        <v>30</v>
      </c>
      <c r="F153" t="s">
        <v>7</v>
      </c>
      <c r="G153" s="5">
        <v>3402</v>
      </c>
      <c r="H153" s="3">
        <v>366</v>
      </c>
    </row>
    <row r="154" spans="4:8" x14ac:dyDescent="0.25">
      <c r="D154" t="s">
        <v>13</v>
      </c>
      <c r="E154" t="s">
        <v>6</v>
      </c>
      <c r="F154" t="s">
        <v>33</v>
      </c>
      <c r="G154" s="5">
        <v>3388</v>
      </c>
      <c r="H154" s="3">
        <v>123</v>
      </c>
    </row>
    <row r="155" spans="4:8" x14ac:dyDescent="0.25">
      <c r="D155" t="s">
        <v>16</v>
      </c>
      <c r="E155" t="s">
        <v>30</v>
      </c>
      <c r="F155" t="s">
        <v>32</v>
      </c>
      <c r="G155" s="5">
        <v>3339</v>
      </c>
      <c r="H155" s="3">
        <v>75</v>
      </c>
    </row>
    <row r="156" spans="4:8" x14ac:dyDescent="0.25">
      <c r="D156" t="s">
        <v>27</v>
      </c>
      <c r="E156" t="s">
        <v>14</v>
      </c>
      <c r="F156" t="s">
        <v>18</v>
      </c>
      <c r="G156" s="5">
        <v>3339</v>
      </c>
      <c r="H156" s="3">
        <v>39</v>
      </c>
    </row>
    <row r="157" spans="4:8" x14ac:dyDescent="0.25">
      <c r="D157" t="s">
        <v>25</v>
      </c>
      <c r="E157" t="s">
        <v>14</v>
      </c>
      <c r="F157" t="s">
        <v>28</v>
      </c>
      <c r="G157" s="5">
        <v>3339</v>
      </c>
      <c r="H157" s="3">
        <v>348</v>
      </c>
    </row>
    <row r="158" spans="4:8" x14ac:dyDescent="0.25">
      <c r="D158" t="s">
        <v>23</v>
      </c>
      <c r="E158" t="s">
        <v>30</v>
      </c>
      <c r="F158" t="s">
        <v>10</v>
      </c>
      <c r="G158" s="5">
        <v>3262</v>
      </c>
      <c r="H158" s="3">
        <v>75</v>
      </c>
    </row>
    <row r="159" spans="4:8" x14ac:dyDescent="0.25">
      <c r="D159" t="s">
        <v>11</v>
      </c>
      <c r="E159" t="s">
        <v>17</v>
      </c>
      <c r="F159" t="s">
        <v>18</v>
      </c>
      <c r="G159" s="5">
        <v>3192</v>
      </c>
      <c r="H159" s="3">
        <v>72</v>
      </c>
    </row>
    <row r="160" spans="4:8" x14ac:dyDescent="0.25">
      <c r="D160" t="s">
        <v>5</v>
      </c>
      <c r="E160" t="s">
        <v>14</v>
      </c>
      <c r="F160" t="s">
        <v>39</v>
      </c>
      <c r="G160" s="5">
        <v>3164</v>
      </c>
      <c r="H160" s="3">
        <v>306</v>
      </c>
    </row>
    <row r="161" spans="4:8" x14ac:dyDescent="0.25">
      <c r="D161" t="s">
        <v>27</v>
      </c>
      <c r="E161" t="s">
        <v>30</v>
      </c>
      <c r="F161" t="s">
        <v>42</v>
      </c>
      <c r="G161" s="5">
        <v>3108</v>
      </c>
      <c r="H161" s="3">
        <v>54</v>
      </c>
    </row>
    <row r="162" spans="4:8" x14ac:dyDescent="0.25">
      <c r="D162" t="s">
        <v>5</v>
      </c>
      <c r="E162" t="s">
        <v>17</v>
      </c>
      <c r="F162" t="s">
        <v>40</v>
      </c>
      <c r="G162" s="5">
        <v>3101</v>
      </c>
      <c r="H162" s="3">
        <v>225</v>
      </c>
    </row>
    <row r="163" spans="4:8" x14ac:dyDescent="0.25">
      <c r="D163" t="s">
        <v>26</v>
      </c>
      <c r="E163" t="s">
        <v>14</v>
      </c>
      <c r="F163" t="s">
        <v>21</v>
      </c>
      <c r="G163" s="5">
        <v>3094</v>
      </c>
      <c r="H163" s="3">
        <v>246</v>
      </c>
    </row>
    <row r="164" spans="4:8" x14ac:dyDescent="0.25">
      <c r="D164" t="s">
        <v>35</v>
      </c>
      <c r="E164" t="s">
        <v>6</v>
      </c>
      <c r="F164" t="s">
        <v>40</v>
      </c>
      <c r="G164" s="5">
        <v>3059</v>
      </c>
      <c r="H164" s="3">
        <v>27</v>
      </c>
    </row>
    <row r="165" spans="4:8" x14ac:dyDescent="0.25">
      <c r="D165" t="s">
        <v>16</v>
      </c>
      <c r="E165" t="s">
        <v>17</v>
      </c>
      <c r="F165" t="s">
        <v>32</v>
      </c>
      <c r="G165" s="5">
        <v>3052</v>
      </c>
      <c r="H165" s="3">
        <v>378</v>
      </c>
    </row>
    <row r="166" spans="4:8" x14ac:dyDescent="0.25">
      <c r="D166" t="s">
        <v>16</v>
      </c>
      <c r="E166" t="s">
        <v>17</v>
      </c>
      <c r="F166" t="s">
        <v>38</v>
      </c>
      <c r="G166" s="5">
        <v>2989</v>
      </c>
      <c r="H166" s="3">
        <v>3</v>
      </c>
    </row>
    <row r="167" spans="4:8" x14ac:dyDescent="0.25">
      <c r="D167" t="s">
        <v>11</v>
      </c>
      <c r="E167" t="s">
        <v>14</v>
      </c>
      <c r="F167" t="s">
        <v>10</v>
      </c>
      <c r="G167" s="5">
        <v>2954</v>
      </c>
      <c r="H167" s="3">
        <v>189</v>
      </c>
    </row>
    <row r="168" spans="4:8" x14ac:dyDescent="0.25">
      <c r="D168" t="s">
        <v>13</v>
      </c>
      <c r="E168" t="s">
        <v>6</v>
      </c>
      <c r="F168" t="s">
        <v>41</v>
      </c>
      <c r="G168" s="5">
        <v>2933</v>
      </c>
      <c r="H168" s="3">
        <v>9</v>
      </c>
    </row>
    <row r="169" spans="4:8" x14ac:dyDescent="0.25">
      <c r="D169" t="s">
        <v>11</v>
      </c>
      <c r="E169" t="s">
        <v>6</v>
      </c>
      <c r="F169" t="s">
        <v>40</v>
      </c>
      <c r="G169" s="5">
        <v>2919</v>
      </c>
      <c r="H169" s="3">
        <v>45</v>
      </c>
    </row>
    <row r="170" spans="4:8" x14ac:dyDescent="0.25">
      <c r="D170" t="s">
        <v>27</v>
      </c>
      <c r="E170" t="s">
        <v>30</v>
      </c>
      <c r="F170" t="s">
        <v>28</v>
      </c>
      <c r="G170" s="5">
        <v>2919</v>
      </c>
      <c r="H170" s="3">
        <v>93</v>
      </c>
    </row>
    <row r="171" spans="4:8" x14ac:dyDescent="0.25">
      <c r="D171" t="s">
        <v>25</v>
      </c>
      <c r="E171" t="s">
        <v>30</v>
      </c>
      <c r="F171" t="s">
        <v>32</v>
      </c>
      <c r="G171" s="5">
        <v>2891</v>
      </c>
      <c r="H171" s="3">
        <v>102</v>
      </c>
    </row>
    <row r="172" spans="4:8" x14ac:dyDescent="0.25">
      <c r="D172" t="s">
        <v>23</v>
      </c>
      <c r="E172" t="s">
        <v>14</v>
      </c>
      <c r="F172" t="s">
        <v>36</v>
      </c>
      <c r="G172" s="5">
        <v>2870</v>
      </c>
      <c r="H172" s="3">
        <v>300</v>
      </c>
    </row>
    <row r="173" spans="4:8" x14ac:dyDescent="0.25">
      <c r="D173" t="s">
        <v>26</v>
      </c>
      <c r="E173" t="s">
        <v>6</v>
      </c>
      <c r="F173" t="s">
        <v>37</v>
      </c>
      <c r="G173" s="5">
        <v>2863</v>
      </c>
      <c r="H173" s="3">
        <v>42</v>
      </c>
    </row>
    <row r="174" spans="4:8" x14ac:dyDescent="0.25">
      <c r="D174" t="s">
        <v>11</v>
      </c>
      <c r="E174" t="s">
        <v>6</v>
      </c>
      <c r="F174" t="s">
        <v>42</v>
      </c>
      <c r="G174" s="5">
        <v>2856</v>
      </c>
      <c r="H174" s="3">
        <v>246</v>
      </c>
    </row>
    <row r="175" spans="4:8" x14ac:dyDescent="0.25">
      <c r="D175" t="s">
        <v>23</v>
      </c>
      <c r="E175" t="s">
        <v>9</v>
      </c>
      <c r="F175" t="s">
        <v>38</v>
      </c>
      <c r="G175" s="5">
        <v>2793</v>
      </c>
      <c r="H175" s="3">
        <v>114</v>
      </c>
    </row>
    <row r="176" spans="4:8" x14ac:dyDescent="0.25">
      <c r="D176" t="s">
        <v>5</v>
      </c>
      <c r="E176" t="s">
        <v>30</v>
      </c>
      <c r="F176" t="s">
        <v>34</v>
      </c>
      <c r="G176" s="5">
        <v>2779</v>
      </c>
      <c r="H176" s="3">
        <v>75</v>
      </c>
    </row>
    <row r="177" spans="4:8" x14ac:dyDescent="0.25">
      <c r="D177" t="s">
        <v>25</v>
      </c>
      <c r="E177" t="s">
        <v>9</v>
      </c>
      <c r="F177" t="s">
        <v>12</v>
      </c>
      <c r="G177" s="5">
        <v>2744</v>
      </c>
      <c r="H177" s="3">
        <v>9</v>
      </c>
    </row>
    <row r="178" spans="4:8" x14ac:dyDescent="0.25">
      <c r="D178" t="s">
        <v>11</v>
      </c>
      <c r="E178" t="s">
        <v>6</v>
      </c>
      <c r="F178" t="s">
        <v>34</v>
      </c>
      <c r="G178" s="5">
        <v>2737</v>
      </c>
      <c r="H178" s="3">
        <v>93</v>
      </c>
    </row>
    <row r="179" spans="4:8" x14ac:dyDescent="0.25">
      <c r="D179" t="s">
        <v>8</v>
      </c>
      <c r="E179" t="s">
        <v>9</v>
      </c>
      <c r="F179" t="s">
        <v>33</v>
      </c>
      <c r="G179" s="5">
        <v>2702</v>
      </c>
      <c r="H179" s="3">
        <v>363</v>
      </c>
    </row>
    <row r="180" spans="4:8" x14ac:dyDescent="0.25">
      <c r="D180" t="s">
        <v>16</v>
      </c>
      <c r="E180" t="s">
        <v>20</v>
      </c>
      <c r="F180" t="s">
        <v>21</v>
      </c>
      <c r="G180" s="5">
        <v>2681</v>
      </c>
      <c r="H180" s="3">
        <v>54</v>
      </c>
    </row>
    <row r="181" spans="4:8" x14ac:dyDescent="0.25">
      <c r="D181" t="s">
        <v>11</v>
      </c>
      <c r="E181" t="s">
        <v>20</v>
      </c>
      <c r="F181" t="s">
        <v>29</v>
      </c>
      <c r="G181" s="5">
        <v>2646</v>
      </c>
      <c r="H181" s="3">
        <v>120</v>
      </c>
    </row>
    <row r="182" spans="4:8" x14ac:dyDescent="0.25">
      <c r="D182" t="s">
        <v>23</v>
      </c>
      <c r="E182" t="s">
        <v>14</v>
      </c>
      <c r="F182" t="s">
        <v>15</v>
      </c>
      <c r="G182" s="5">
        <v>2646</v>
      </c>
      <c r="H182" s="3">
        <v>177</v>
      </c>
    </row>
    <row r="183" spans="4:8" x14ac:dyDescent="0.25">
      <c r="D183" t="s">
        <v>11</v>
      </c>
      <c r="E183" t="s">
        <v>17</v>
      </c>
      <c r="F183" t="s">
        <v>15</v>
      </c>
      <c r="G183" s="5">
        <v>2639</v>
      </c>
      <c r="H183" s="3">
        <v>204</v>
      </c>
    </row>
    <row r="184" spans="4:8" x14ac:dyDescent="0.25">
      <c r="D184" t="s">
        <v>27</v>
      </c>
      <c r="E184" t="s">
        <v>30</v>
      </c>
      <c r="F184" t="s">
        <v>33</v>
      </c>
      <c r="G184" s="5">
        <v>2583</v>
      </c>
      <c r="H184" s="3">
        <v>18</v>
      </c>
    </row>
    <row r="185" spans="4:8" x14ac:dyDescent="0.25">
      <c r="D185" t="s">
        <v>35</v>
      </c>
      <c r="E185" t="s">
        <v>9</v>
      </c>
      <c r="F185" t="s">
        <v>37</v>
      </c>
      <c r="G185" s="5">
        <v>2562</v>
      </c>
      <c r="H185" s="3">
        <v>6</v>
      </c>
    </row>
    <row r="186" spans="4:8" x14ac:dyDescent="0.25">
      <c r="D186" t="s">
        <v>5</v>
      </c>
      <c r="E186" t="s">
        <v>20</v>
      </c>
      <c r="F186" t="s">
        <v>18</v>
      </c>
      <c r="G186" s="5">
        <v>2541</v>
      </c>
      <c r="H186" s="3">
        <v>90</v>
      </c>
    </row>
    <row r="187" spans="4:8" x14ac:dyDescent="0.25">
      <c r="D187" t="s">
        <v>5</v>
      </c>
      <c r="E187" t="s">
        <v>20</v>
      </c>
      <c r="F187" t="s">
        <v>32</v>
      </c>
      <c r="G187" s="5">
        <v>2541</v>
      </c>
      <c r="H187" s="3">
        <v>45</v>
      </c>
    </row>
    <row r="188" spans="4:8" x14ac:dyDescent="0.25">
      <c r="D188" t="s">
        <v>23</v>
      </c>
      <c r="E188" t="s">
        <v>9</v>
      </c>
      <c r="F188" t="s">
        <v>39</v>
      </c>
      <c r="G188" s="5">
        <v>2478</v>
      </c>
      <c r="H188" s="3">
        <v>21</v>
      </c>
    </row>
    <row r="189" spans="4:8" x14ac:dyDescent="0.25">
      <c r="D189" t="s">
        <v>35</v>
      </c>
      <c r="E189" t="s">
        <v>14</v>
      </c>
      <c r="F189" t="s">
        <v>32</v>
      </c>
      <c r="G189" s="5">
        <v>2471</v>
      </c>
      <c r="H189" s="3">
        <v>342</v>
      </c>
    </row>
    <row r="190" spans="4:8" x14ac:dyDescent="0.25">
      <c r="D190" t="s">
        <v>27</v>
      </c>
      <c r="E190" t="s">
        <v>9</v>
      </c>
      <c r="F190" t="s">
        <v>18</v>
      </c>
      <c r="G190" s="5">
        <v>2464</v>
      </c>
      <c r="H190" s="3">
        <v>234</v>
      </c>
    </row>
    <row r="191" spans="4:8" x14ac:dyDescent="0.25">
      <c r="D191" t="s">
        <v>11</v>
      </c>
      <c r="E191" t="s">
        <v>20</v>
      </c>
      <c r="F191" t="s">
        <v>42</v>
      </c>
      <c r="G191" s="5">
        <v>2436</v>
      </c>
      <c r="H191" s="3">
        <v>99</v>
      </c>
    </row>
    <row r="192" spans="4:8" x14ac:dyDescent="0.25">
      <c r="D192" t="s">
        <v>11</v>
      </c>
      <c r="E192" t="s">
        <v>9</v>
      </c>
      <c r="F192" t="s">
        <v>39</v>
      </c>
      <c r="G192" s="5">
        <v>2429</v>
      </c>
      <c r="H192" s="3">
        <v>144</v>
      </c>
    </row>
    <row r="193" spans="4:8" x14ac:dyDescent="0.25">
      <c r="D193" t="s">
        <v>27</v>
      </c>
      <c r="E193" t="s">
        <v>9</v>
      </c>
      <c r="F193" t="s">
        <v>24</v>
      </c>
      <c r="G193" s="5">
        <v>2415</v>
      </c>
      <c r="H193" s="3">
        <v>255</v>
      </c>
    </row>
    <row r="194" spans="4:8" x14ac:dyDescent="0.25">
      <c r="D194" t="s">
        <v>25</v>
      </c>
      <c r="E194" t="s">
        <v>9</v>
      </c>
      <c r="F194" t="s">
        <v>15</v>
      </c>
      <c r="G194" s="5">
        <v>2415</v>
      </c>
      <c r="H194" s="3">
        <v>15</v>
      </c>
    </row>
    <row r="195" spans="4:8" x14ac:dyDescent="0.25">
      <c r="D195" t="s">
        <v>11</v>
      </c>
      <c r="E195" t="s">
        <v>20</v>
      </c>
      <c r="F195" t="s">
        <v>28</v>
      </c>
      <c r="G195" s="5">
        <v>2408</v>
      </c>
      <c r="H195" s="3">
        <v>9</v>
      </c>
    </row>
    <row r="196" spans="4:8" x14ac:dyDescent="0.25">
      <c r="D196" t="s">
        <v>13</v>
      </c>
      <c r="E196" t="s">
        <v>6</v>
      </c>
      <c r="F196" t="s">
        <v>42</v>
      </c>
      <c r="G196" s="5">
        <v>2324</v>
      </c>
      <c r="H196" s="3">
        <v>177</v>
      </c>
    </row>
    <row r="197" spans="4:8" x14ac:dyDescent="0.25">
      <c r="D197" t="s">
        <v>35</v>
      </c>
      <c r="E197" t="s">
        <v>14</v>
      </c>
      <c r="F197" t="s">
        <v>34</v>
      </c>
      <c r="G197" s="5">
        <v>2317</v>
      </c>
      <c r="H197" s="3">
        <v>261</v>
      </c>
    </row>
    <row r="198" spans="4:8" x14ac:dyDescent="0.25">
      <c r="D198" t="s">
        <v>16</v>
      </c>
      <c r="E198" t="s">
        <v>20</v>
      </c>
      <c r="F198" t="s">
        <v>31</v>
      </c>
      <c r="G198" s="5">
        <v>2317</v>
      </c>
      <c r="H198" s="3">
        <v>123</v>
      </c>
    </row>
    <row r="199" spans="4:8" x14ac:dyDescent="0.25">
      <c r="D199" t="s">
        <v>5</v>
      </c>
      <c r="E199" t="s">
        <v>30</v>
      </c>
      <c r="F199" t="s">
        <v>39</v>
      </c>
      <c r="G199" s="5">
        <v>2289</v>
      </c>
      <c r="H199" s="3">
        <v>135</v>
      </c>
    </row>
    <row r="200" spans="4:8" x14ac:dyDescent="0.25">
      <c r="D200" t="s">
        <v>5</v>
      </c>
      <c r="E200" t="s">
        <v>9</v>
      </c>
      <c r="F200" t="s">
        <v>7</v>
      </c>
      <c r="G200" s="5">
        <v>2275</v>
      </c>
      <c r="H200" s="3">
        <v>447</v>
      </c>
    </row>
    <row r="201" spans="4:8" x14ac:dyDescent="0.25">
      <c r="D201" t="s">
        <v>8</v>
      </c>
      <c r="E201" t="s">
        <v>20</v>
      </c>
      <c r="F201" t="s">
        <v>39</v>
      </c>
      <c r="G201" s="5">
        <v>2268</v>
      </c>
      <c r="H201" s="3">
        <v>63</v>
      </c>
    </row>
    <row r="202" spans="4:8" x14ac:dyDescent="0.25">
      <c r="D202" t="s">
        <v>23</v>
      </c>
      <c r="E202" t="s">
        <v>30</v>
      </c>
      <c r="F202" t="s">
        <v>19</v>
      </c>
      <c r="G202" s="5">
        <v>2226</v>
      </c>
      <c r="H202" s="3">
        <v>48</v>
      </c>
    </row>
    <row r="203" spans="4:8" x14ac:dyDescent="0.25">
      <c r="D203" t="s">
        <v>16</v>
      </c>
      <c r="E203" t="s">
        <v>30</v>
      </c>
      <c r="F203" t="s">
        <v>29</v>
      </c>
      <c r="G203" s="5">
        <v>2219</v>
      </c>
      <c r="H203" s="3">
        <v>75</v>
      </c>
    </row>
    <row r="204" spans="4:8" x14ac:dyDescent="0.25">
      <c r="D204" t="s">
        <v>27</v>
      </c>
      <c r="E204" t="s">
        <v>30</v>
      </c>
      <c r="F204" t="s">
        <v>34</v>
      </c>
      <c r="G204" s="5">
        <v>2212</v>
      </c>
      <c r="H204" s="3">
        <v>117</v>
      </c>
    </row>
    <row r="205" spans="4:8" x14ac:dyDescent="0.25">
      <c r="D205" t="s">
        <v>35</v>
      </c>
      <c r="E205" t="s">
        <v>20</v>
      </c>
      <c r="F205" t="s">
        <v>22</v>
      </c>
      <c r="G205" s="5">
        <v>2205</v>
      </c>
      <c r="H205" s="3">
        <v>141</v>
      </c>
    </row>
    <row r="206" spans="4:8" x14ac:dyDescent="0.25">
      <c r="D206" t="s">
        <v>23</v>
      </c>
      <c r="E206" t="s">
        <v>30</v>
      </c>
      <c r="F206" t="s">
        <v>33</v>
      </c>
      <c r="G206" s="5">
        <v>2205</v>
      </c>
      <c r="H206" s="3">
        <v>138</v>
      </c>
    </row>
    <row r="207" spans="4:8" x14ac:dyDescent="0.25">
      <c r="D207" t="s">
        <v>23</v>
      </c>
      <c r="E207" t="s">
        <v>14</v>
      </c>
      <c r="F207" t="s">
        <v>21</v>
      </c>
      <c r="G207" s="5">
        <v>2149</v>
      </c>
      <c r="H207" s="3">
        <v>117</v>
      </c>
    </row>
    <row r="208" spans="4:8" x14ac:dyDescent="0.25">
      <c r="D208" t="s">
        <v>11</v>
      </c>
      <c r="E208" t="s">
        <v>14</v>
      </c>
      <c r="F208" t="s">
        <v>18</v>
      </c>
      <c r="G208" s="5">
        <v>2142</v>
      </c>
      <c r="H208" s="3">
        <v>114</v>
      </c>
    </row>
    <row r="209" spans="4:8" x14ac:dyDescent="0.25">
      <c r="D209" t="s">
        <v>23</v>
      </c>
      <c r="E209" t="s">
        <v>9</v>
      </c>
      <c r="F209" t="s">
        <v>29</v>
      </c>
      <c r="G209" s="5">
        <v>2135</v>
      </c>
      <c r="H209" s="3">
        <v>27</v>
      </c>
    </row>
    <row r="210" spans="4:8" x14ac:dyDescent="0.25">
      <c r="D210" t="s">
        <v>27</v>
      </c>
      <c r="E210" t="s">
        <v>9</v>
      </c>
      <c r="F210" t="s">
        <v>32</v>
      </c>
      <c r="G210" s="5">
        <v>2114</v>
      </c>
      <c r="H210" s="3">
        <v>66</v>
      </c>
    </row>
    <row r="211" spans="4:8" x14ac:dyDescent="0.25">
      <c r="D211" t="s">
        <v>13</v>
      </c>
      <c r="E211" t="s">
        <v>9</v>
      </c>
      <c r="F211" t="s">
        <v>37</v>
      </c>
      <c r="G211" s="5">
        <v>2114</v>
      </c>
      <c r="H211" s="3">
        <v>186</v>
      </c>
    </row>
    <row r="212" spans="4:8" x14ac:dyDescent="0.25">
      <c r="D212" t="s">
        <v>16</v>
      </c>
      <c r="E212" t="s">
        <v>17</v>
      </c>
      <c r="F212" t="s">
        <v>18</v>
      </c>
      <c r="G212" s="5">
        <v>2100</v>
      </c>
      <c r="H212" s="3">
        <v>414</v>
      </c>
    </row>
    <row r="213" spans="4:8" x14ac:dyDescent="0.25">
      <c r="D213" t="s">
        <v>8</v>
      </c>
      <c r="E213" t="s">
        <v>9</v>
      </c>
      <c r="F213" t="s">
        <v>32</v>
      </c>
      <c r="G213" s="5">
        <v>2023</v>
      </c>
      <c r="H213" s="3">
        <v>168</v>
      </c>
    </row>
    <row r="214" spans="4:8" x14ac:dyDescent="0.25">
      <c r="D214" t="s">
        <v>27</v>
      </c>
      <c r="E214" t="s">
        <v>9</v>
      </c>
      <c r="F214" t="s">
        <v>34</v>
      </c>
      <c r="G214" s="5">
        <v>2023</v>
      </c>
      <c r="H214" s="3">
        <v>78</v>
      </c>
    </row>
    <row r="215" spans="4:8" x14ac:dyDescent="0.25">
      <c r="D215" t="s">
        <v>26</v>
      </c>
      <c r="E215" t="s">
        <v>17</v>
      </c>
      <c r="F215" t="s">
        <v>29</v>
      </c>
      <c r="G215" s="5">
        <v>2016</v>
      </c>
      <c r="H215" s="3">
        <v>117</v>
      </c>
    </row>
    <row r="216" spans="4:8" x14ac:dyDescent="0.25">
      <c r="D216" t="s">
        <v>8</v>
      </c>
      <c r="E216" t="s">
        <v>30</v>
      </c>
      <c r="F216" t="s">
        <v>29</v>
      </c>
      <c r="G216" s="5">
        <v>2009</v>
      </c>
      <c r="H216" s="3">
        <v>219</v>
      </c>
    </row>
    <row r="217" spans="4:8" x14ac:dyDescent="0.25">
      <c r="D217" t="s">
        <v>5</v>
      </c>
      <c r="E217" t="s">
        <v>20</v>
      </c>
      <c r="F217" t="s">
        <v>21</v>
      </c>
      <c r="G217" s="5">
        <v>1988</v>
      </c>
      <c r="H217" s="3">
        <v>39</v>
      </c>
    </row>
    <row r="218" spans="4:8" x14ac:dyDescent="0.25">
      <c r="D218" t="s">
        <v>35</v>
      </c>
      <c r="E218" t="s">
        <v>9</v>
      </c>
      <c r="F218" t="s">
        <v>33</v>
      </c>
      <c r="G218" s="5">
        <v>1974</v>
      </c>
      <c r="H218" s="3">
        <v>195</v>
      </c>
    </row>
    <row r="219" spans="4:8" x14ac:dyDescent="0.25">
      <c r="D219" t="s">
        <v>23</v>
      </c>
      <c r="E219" t="s">
        <v>30</v>
      </c>
      <c r="F219" t="s">
        <v>24</v>
      </c>
      <c r="G219" s="5">
        <v>1932</v>
      </c>
      <c r="H219" s="3">
        <v>369</v>
      </c>
    </row>
    <row r="220" spans="4:8" x14ac:dyDescent="0.25">
      <c r="D220" t="s">
        <v>13</v>
      </c>
      <c r="E220" t="s">
        <v>14</v>
      </c>
      <c r="F220" t="s">
        <v>36</v>
      </c>
      <c r="G220" s="5">
        <v>1925</v>
      </c>
      <c r="H220" s="3">
        <v>192</v>
      </c>
    </row>
    <row r="221" spans="4:8" x14ac:dyDescent="0.25">
      <c r="D221" t="s">
        <v>16</v>
      </c>
      <c r="E221" t="s">
        <v>6</v>
      </c>
      <c r="F221" t="s">
        <v>29</v>
      </c>
      <c r="G221" s="5">
        <v>1904</v>
      </c>
      <c r="H221" s="3">
        <v>405</v>
      </c>
    </row>
    <row r="222" spans="4:8" x14ac:dyDescent="0.25">
      <c r="D222" t="s">
        <v>8</v>
      </c>
      <c r="E222" t="s">
        <v>6</v>
      </c>
      <c r="F222" t="s">
        <v>22</v>
      </c>
      <c r="G222" s="5">
        <v>1890</v>
      </c>
      <c r="H222" s="3">
        <v>195</v>
      </c>
    </row>
    <row r="223" spans="4:8" x14ac:dyDescent="0.25">
      <c r="D223" t="s">
        <v>26</v>
      </c>
      <c r="E223" t="s">
        <v>17</v>
      </c>
      <c r="F223" t="s">
        <v>18</v>
      </c>
      <c r="G223" s="5">
        <v>1785</v>
      </c>
      <c r="H223" s="3">
        <v>462</v>
      </c>
    </row>
    <row r="224" spans="4:8" x14ac:dyDescent="0.25">
      <c r="D224" t="s">
        <v>23</v>
      </c>
      <c r="E224" t="s">
        <v>20</v>
      </c>
      <c r="F224" t="s">
        <v>15</v>
      </c>
      <c r="G224" s="5">
        <v>1778</v>
      </c>
      <c r="H224" s="3">
        <v>270</v>
      </c>
    </row>
    <row r="225" spans="4:8" x14ac:dyDescent="0.25">
      <c r="D225" t="s">
        <v>8</v>
      </c>
      <c r="E225" t="s">
        <v>6</v>
      </c>
      <c r="F225" t="s">
        <v>36</v>
      </c>
      <c r="G225" s="5">
        <v>1771</v>
      </c>
      <c r="H225" s="3">
        <v>204</v>
      </c>
    </row>
    <row r="226" spans="4:8" x14ac:dyDescent="0.25">
      <c r="D226" t="s">
        <v>8</v>
      </c>
      <c r="E226" t="s">
        <v>20</v>
      </c>
      <c r="F226" t="s">
        <v>34</v>
      </c>
      <c r="G226" s="5">
        <v>1701</v>
      </c>
      <c r="H226" s="3">
        <v>234</v>
      </c>
    </row>
    <row r="227" spans="4:8" x14ac:dyDescent="0.25">
      <c r="D227" t="s">
        <v>25</v>
      </c>
      <c r="E227" t="s">
        <v>30</v>
      </c>
      <c r="F227" t="s">
        <v>19</v>
      </c>
      <c r="G227" s="5">
        <v>1652</v>
      </c>
      <c r="H227" s="3">
        <v>93</v>
      </c>
    </row>
    <row r="228" spans="4:8" x14ac:dyDescent="0.25">
      <c r="D228" t="s">
        <v>27</v>
      </c>
      <c r="E228" t="s">
        <v>17</v>
      </c>
      <c r="F228" t="s">
        <v>40</v>
      </c>
      <c r="G228" s="5">
        <v>1652</v>
      </c>
      <c r="H228" s="3">
        <v>102</v>
      </c>
    </row>
    <row r="229" spans="4:8" x14ac:dyDescent="0.25">
      <c r="D229" t="s">
        <v>16</v>
      </c>
      <c r="E229" t="s">
        <v>17</v>
      </c>
      <c r="F229" t="s">
        <v>7</v>
      </c>
      <c r="G229" s="5">
        <v>1638</v>
      </c>
      <c r="H229" s="3">
        <v>63</v>
      </c>
    </row>
    <row r="230" spans="4:8" x14ac:dyDescent="0.25">
      <c r="D230" t="s">
        <v>5</v>
      </c>
      <c r="E230" t="s">
        <v>9</v>
      </c>
      <c r="F230" t="s">
        <v>38</v>
      </c>
      <c r="G230" s="5">
        <v>1638</v>
      </c>
      <c r="H230" s="3">
        <v>48</v>
      </c>
    </row>
    <row r="231" spans="4:8" x14ac:dyDescent="0.25">
      <c r="D231" t="s">
        <v>5</v>
      </c>
      <c r="E231" t="s">
        <v>6</v>
      </c>
      <c r="F231" t="s">
        <v>7</v>
      </c>
      <c r="G231" s="5">
        <v>1624</v>
      </c>
      <c r="H231" s="3">
        <v>114</v>
      </c>
    </row>
    <row r="232" spans="4:8" x14ac:dyDescent="0.25">
      <c r="D232" t="s">
        <v>5</v>
      </c>
      <c r="E232" t="s">
        <v>9</v>
      </c>
      <c r="F232" t="s">
        <v>32</v>
      </c>
      <c r="G232" s="5">
        <v>1617</v>
      </c>
      <c r="H232" s="3">
        <v>126</v>
      </c>
    </row>
    <row r="233" spans="4:8" x14ac:dyDescent="0.25">
      <c r="D233" t="s">
        <v>26</v>
      </c>
      <c r="E233" t="s">
        <v>9</v>
      </c>
      <c r="F233" t="s">
        <v>28</v>
      </c>
      <c r="G233" s="5">
        <v>1589</v>
      </c>
      <c r="H233" s="3">
        <v>303</v>
      </c>
    </row>
    <row r="234" spans="4:8" x14ac:dyDescent="0.25">
      <c r="D234" t="s">
        <v>23</v>
      </c>
      <c r="E234" t="s">
        <v>30</v>
      </c>
      <c r="F234" t="s">
        <v>18</v>
      </c>
      <c r="G234" s="5">
        <v>1568</v>
      </c>
      <c r="H234" s="3">
        <v>96</v>
      </c>
    </row>
    <row r="235" spans="4:8" x14ac:dyDescent="0.25">
      <c r="D235" t="s">
        <v>26</v>
      </c>
      <c r="E235" t="s">
        <v>17</v>
      </c>
      <c r="F235" t="s">
        <v>22</v>
      </c>
      <c r="G235" s="5">
        <v>1568</v>
      </c>
      <c r="H235" s="3">
        <v>141</v>
      </c>
    </row>
    <row r="236" spans="4:8" x14ac:dyDescent="0.25">
      <c r="D236" t="s">
        <v>8</v>
      </c>
      <c r="E236" t="s">
        <v>17</v>
      </c>
      <c r="F236" t="s">
        <v>42</v>
      </c>
      <c r="G236" s="5">
        <v>1561</v>
      </c>
      <c r="H236" s="3">
        <v>27</v>
      </c>
    </row>
    <row r="237" spans="4:8" x14ac:dyDescent="0.25">
      <c r="D237" t="s">
        <v>13</v>
      </c>
      <c r="E237" t="s">
        <v>6</v>
      </c>
      <c r="F237" t="s">
        <v>7</v>
      </c>
      <c r="G237" s="5">
        <v>1526</v>
      </c>
      <c r="H237" s="3">
        <v>240</v>
      </c>
    </row>
    <row r="238" spans="4:8" x14ac:dyDescent="0.25">
      <c r="D238" t="s">
        <v>25</v>
      </c>
      <c r="E238" t="s">
        <v>14</v>
      </c>
      <c r="F238" t="s">
        <v>7</v>
      </c>
      <c r="G238" s="5">
        <v>1526</v>
      </c>
      <c r="H238" s="3">
        <v>105</v>
      </c>
    </row>
    <row r="239" spans="4:8" x14ac:dyDescent="0.25">
      <c r="D239" t="s">
        <v>16</v>
      </c>
      <c r="E239" t="s">
        <v>6</v>
      </c>
      <c r="F239" t="s">
        <v>15</v>
      </c>
      <c r="G239" s="5">
        <v>1505</v>
      </c>
      <c r="H239" s="3">
        <v>102</v>
      </c>
    </row>
    <row r="240" spans="4:8" x14ac:dyDescent="0.25">
      <c r="D240" t="s">
        <v>13</v>
      </c>
      <c r="E240" t="s">
        <v>30</v>
      </c>
      <c r="F240" t="s">
        <v>28</v>
      </c>
      <c r="G240" s="5">
        <v>1463</v>
      </c>
      <c r="H240" s="3">
        <v>39</v>
      </c>
    </row>
    <row r="241" spans="4:8" x14ac:dyDescent="0.25">
      <c r="D241" t="s">
        <v>16</v>
      </c>
      <c r="E241" t="s">
        <v>30</v>
      </c>
      <c r="F241" t="s">
        <v>37</v>
      </c>
      <c r="G241" s="5">
        <v>1442</v>
      </c>
      <c r="H241" s="3">
        <v>15</v>
      </c>
    </row>
    <row r="242" spans="4:8" x14ac:dyDescent="0.25">
      <c r="D242" t="s">
        <v>35</v>
      </c>
      <c r="E242" t="s">
        <v>30</v>
      </c>
      <c r="F242" t="s">
        <v>18</v>
      </c>
      <c r="G242" s="5">
        <v>1428</v>
      </c>
      <c r="H242" s="3">
        <v>93</v>
      </c>
    </row>
    <row r="243" spans="4:8" x14ac:dyDescent="0.25">
      <c r="D243" t="s">
        <v>35</v>
      </c>
      <c r="E243" t="s">
        <v>14</v>
      </c>
      <c r="F243" t="s">
        <v>39</v>
      </c>
      <c r="G243" s="5">
        <v>1407</v>
      </c>
      <c r="H243" s="3">
        <v>72</v>
      </c>
    </row>
    <row r="244" spans="4:8" x14ac:dyDescent="0.25">
      <c r="D244" t="s">
        <v>16</v>
      </c>
      <c r="E244" t="s">
        <v>14</v>
      </c>
      <c r="F244" t="s">
        <v>32</v>
      </c>
      <c r="G244" s="5">
        <v>1400</v>
      </c>
      <c r="H244" s="3">
        <v>135</v>
      </c>
    </row>
    <row r="245" spans="4:8" x14ac:dyDescent="0.25">
      <c r="D245" t="s">
        <v>16</v>
      </c>
      <c r="E245" t="s">
        <v>9</v>
      </c>
      <c r="F245" t="s">
        <v>12</v>
      </c>
      <c r="G245" s="5">
        <v>1302</v>
      </c>
      <c r="H245" s="3">
        <v>402</v>
      </c>
    </row>
    <row r="246" spans="4:8" x14ac:dyDescent="0.25">
      <c r="D246" t="s">
        <v>23</v>
      </c>
      <c r="E246" t="s">
        <v>20</v>
      </c>
      <c r="F246" t="s">
        <v>24</v>
      </c>
      <c r="G246" s="5">
        <v>1281</v>
      </c>
      <c r="H246" s="3">
        <v>75</v>
      </c>
    </row>
    <row r="247" spans="4:8" x14ac:dyDescent="0.25">
      <c r="D247" t="s">
        <v>27</v>
      </c>
      <c r="E247" t="s">
        <v>14</v>
      </c>
      <c r="F247" t="s">
        <v>36</v>
      </c>
      <c r="G247" s="5">
        <v>1281</v>
      </c>
      <c r="H247" s="3">
        <v>18</v>
      </c>
    </row>
    <row r="248" spans="4:8" x14ac:dyDescent="0.25">
      <c r="D248" t="s">
        <v>13</v>
      </c>
      <c r="E248" t="s">
        <v>30</v>
      </c>
      <c r="F248" t="s">
        <v>29</v>
      </c>
      <c r="G248" s="5">
        <v>1274</v>
      </c>
      <c r="H248" s="3">
        <v>225</v>
      </c>
    </row>
    <row r="249" spans="4:8" x14ac:dyDescent="0.25">
      <c r="D249" t="s">
        <v>16</v>
      </c>
      <c r="E249" t="s">
        <v>20</v>
      </c>
      <c r="F249" t="s">
        <v>39</v>
      </c>
      <c r="G249" s="5">
        <v>1134</v>
      </c>
      <c r="H249" s="3">
        <v>282</v>
      </c>
    </row>
    <row r="250" spans="4:8" x14ac:dyDescent="0.25">
      <c r="D250" t="s">
        <v>11</v>
      </c>
      <c r="E250" t="s">
        <v>6</v>
      </c>
      <c r="F250" t="s">
        <v>32</v>
      </c>
      <c r="G250" s="5">
        <v>1085</v>
      </c>
      <c r="H250" s="3">
        <v>273</v>
      </c>
    </row>
    <row r="251" spans="4:8" x14ac:dyDescent="0.25">
      <c r="D251" t="s">
        <v>16</v>
      </c>
      <c r="E251" t="s">
        <v>9</v>
      </c>
      <c r="F251" t="s">
        <v>33</v>
      </c>
      <c r="G251" s="5">
        <v>1071</v>
      </c>
      <c r="H251" s="3">
        <v>270</v>
      </c>
    </row>
    <row r="252" spans="4:8" x14ac:dyDescent="0.25">
      <c r="D252" t="s">
        <v>26</v>
      </c>
      <c r="E252" t="s">
        <v>6</v>
      </c>
      <c r="F252" t="s">
        <v>24</v>
      </c>
      <c r="G252" s="5">
        <v>1057</v>
      </c>
      <c r="H252" s="3">
        <v>54</v>
      </c>
    </row>
    <row r="253" spans="4:8" x14ac:dyDescent="0.25">
      <c r="D253" t="s">
        <v>27</v>
      </c>
      <c r="E253" t="s">
        <v>14</v>
      </c>
      <c r="F253" t="s">
        <v>40</v>
      </c>
      <c r="G253" s="5">
        <v>973</v>
      </c>
      <c r="H253" s="3">
        <v>162</v>
      </c>
    </row>
    <row r="254" spans="4:8" x14ac:dyDescent="0.25">
      <c r="D254" t="s">
        <v>23</v>
      </c>
      <c r="E254" t="s">
        <v>17</v>
      </c>
      <c r="F254" t="s">
        <v>39</v>
      </c>
      <c r="G254" s="5">
        <v>966</v>
      </c>
      <c r="H254" s="3">
        <v>198</v>
      </c>
    </row>
    <row r="255" spans="4:8" x14ac:dyDescent="0.25">
      <c r="D255" t="s">
        <v>11</v>
      </c>
      <c r="E255" t="s">
        <v>9</v>
      </c>
      <c r="F255" t="s">
        <v>12</v>
      </c>
      <c r="G255" s="5">
        <v>959</v>
      </c>
      <c r="H255" s="3">
        <v>147</v>
      </c>
    </row>
    <row r="256" spans="4:8" x14ac:dyDescent="0.25">
      <c r="D256" t="s">
        <v>16</v>
      </c>
      <c r="E256" t="s">
        <v>20</v>
      </c>
      <c r="F256" t="s">
        <v>19</v>
      </c>
      <c r="G256" s="5">
        <v>959</v>
      </c>
      <c r="H256" s="3">
        <v>135</v>
      </c>
    </row>
    <row r="257" spans="4:8" x14ac:dyDescent="0.25">
      <c r="D257" t="s">
        <v>35</v>
      </c>
      <c r="E257" t="s">
        <v>14</v>
      </c>
      <c r="F257" t="s">
        <v>31</v>
      </c>
      <c r="G257" s="5">
        <v>945</v>
      </c>
      <c r="H257" s="3">
        <v>75</v>
      </c>
    </row>
    <row r="258" spans="4:8" x14ac:dyDescent="0.25">
      <c r="D258" t="s">
        <v>16</v>
      </c>
      <c r="E258" t="s">
        <v>20</v>
      </c>
      <c r="F258" t="s">
        <v>29</v>
      </c>
      <c r="G258" s="5">
        <v>938</v>
      </c>
      <c r="H258" s="3">
        <v>6</v>
      </c>
    </row>
    <row r="259" spans="4:8" x14ac:dyDescent="0.25">
      <c r="D259" t="s">
        <v>11</v>
      </c>
      <c r="E259" t="s">
        <v>30</v>
      </c>
      <c r="F259" t="s">
        <v>29</v>
      </c>
      <c r="G259" s="5">
        <v>938</v>
      </c>
      <c r="H259" s="3">
        <v>189</v>
      </c>
    </row>
    <row r="260" spans="4:8" x14ac:dyDescent="0.25">
      <c r="D260" t="s">
        <v>27</v>
      </c>
      <c r="E260" t="s">
        <v>6</v>
      </c>
      <c r="F260" t="s">
        <v>12</v>
      </c>
      <c r="G260" s="5">
        <v>938</v>
      </c>
      <c r="H260" s="3">
        <v>366</v>
      </c>
    </row>
    <row r="261" spans="4:8" x14ac:dyDescent="0.25">
      <c r="D261" t="s">
        <v>25</v>
      </c>
      <c r="E261" t="s">
        <v>30</v>
      </c>
      <c r="F261" t="s">
        <v>36</v>
      </c>
      <c r="G261" s="5">
        <v>861</v>
      </c>
      <c r="H261" s="3">
        <v>195</v>
      </c>
    </row>
    <row r="262" spans="4:8" x14ac:dyDescent="0.25">
      <c r="D262" t="s">
        <v>13</v>
      </c>
      <c r="E262" t="s">
        <v>14</v>
      </c>
      <c r="F262" t="s">
        <v>40</v>
      </c>
      <c r="G262" s="5">
        <v>854</v>
      </c>
      <c r="H262" s="3">
        <v>309</v>
      </c>
    </row>
    <row r="263" spans="4:8" x14ac:dyDescent="0.25">
      <c r="D263" t="s">
        <v>13</v>
      </c>
      <c r="E263" t="s">
        <v>9</v>
      </c>
      <c r="F263" t="s">
        <v>39</v>
      </c>
      <c r="G263" s="5">
        <v>847</v>
      </c>
      <c r="H263" s="3">
        <v>129</v>
      </c>
    </row>
    <row r="264" spans="4:8" x14ac:dyDescent="0.25">
      <c r="D264" t="s">
        <v>8</v>
      </c>
      <c r="E264" t="s">
        <v>20</v>
      </c>
      <c r="F264" t="s">
        <v>31</v>
      </c>
      <c r="G264" s="5">
        <v>819</v>
      </c>
      <c r="H264" s="3">
        <v>510</v>
      </c>
    </row>
    <row r="265" spans="4:8" x14ac:dyDescent="0.25">
      <c r="D265" t="s">
        <v>27</v>
      </c>
      <c r="E265" t="s">
        <v>9</v>
      </c>
      <c r="F265" t="s">
        <v>19</v>
      </c>
      <c r="G265" s="5">
        <v>819</v>
      </c>
      <c r="H265" s="3">
        <v>306</v>
      </c>
    </row>
    <row r="266" spans="4:8" x14ac:dyDescent="0.25">
      <c r="D266" t="s">
        <v>26</v>
      </c>
      <c r="E266" t="s">
        <v>14</v>
      </c>
      <c r="F266" t="s">
        <v>39</v>
      </c>
      <c r="G266" s="5">
        <v>798</v>
      </c>
      <c r="H266" s="3">
        <v>519</v>
      </c>
    </row>
    <row r="267" spans="4:8" x14ac:dyDescent="0.25">
      <c r="D267" t="s">
        <v>13</v>
      </c>
      <c r="E267" t="s">
        <v>6</v>
      </c>
      <c r="F267" t="s">
        <v>37</v>
      </c>
      <c r="G267" s="5">
        <v>714</v>
      </c>
      <c r="H267" s="3">
        <v>231</v>
      </c>
    </row>
    <row r="268" spans="4:8" x14ac:dyDescent="0.25">
      <c r="D268" t="s">
        <v>11</v>
      </c>
      <c r="E268" t="s">
        <v>30</v>
      </c>
      <c r="F268" t="s">
        <v>28</v>
      </c>
      <c r="G268" s="5">
        <v>707</v>
      </c>
      <c r="H268" s="3">
        <v>174</v>
      </c>
    </row>
    <row r="269" spans="4:8" x14ac:dyDescent="0.25">
      <c r="D269" t="s">
        <v>35</v>
      </c>
      <c r="E269" t="s">
        <v>30</v>
      </c>
      <c r="F269" t="s">
        <v>28</v>
      </c>
      <c r="G269" s="5">
        <v>700</v>
      </c>
      <c r="H269" s="3">
        <v>87</v>
      </c>
    </row>
    <row r="270" spans="4:8" x14ac:dyDescent="0.25">
      <c r="D270" t="s">
        <v>26</v>
      </c>
      <c r="E270" t="s">
        <v>17</v>
      </c>
      <c r="F270" t="s">
        <v>34</v>
      </c>
      <c r="G270" s="5">
        <v>630</v>
      </c>
      <c r="H270" s="3">
        <v>36</v>
      </c>
    </row>
    <row r="271" spans="4:8" x14ac:dyDescent="0.25">
      <c r="D271" t="s">
        <v>5</v>
      </c>
      <c r="E271" t="s">
        <v>20</v>
      </c>
      <c r="F271" t="s">
        <v>38</v>
      </c>
      <c r="G271" s="5">
        <v>623</v>
      </c>
      <c r="H271" s="3">
        <v>51</v>
      </c>
    </row>
    <row r="272" spans="4:8" x14ac:dyDescent="0.25">
      <c r="D272" t="s">
        <v>5</v>
      </c>
      <c r="E272" t="s">
        <v>20</v>
      </c>
      <c r="F272" t="s">
        <v>42</v>
      </c>
      <c r="G272" s="5">
        <v>609</v>
      </c>
      <c r="H272" s="3">
        <v>87</v>
      </c>
    </row>
    <row r="273" spans="4:8" x14ac:dyDescent="0.25">
      <c r="D273" t="s">
        <v>13</v>
      </c>
      <c r="E273" t="s">
        <v>9</v>
      </c>
      <c r="F273" t="s">
        <v>36</v>
      </c>
      <c r="G273" s="5">
        <v>609</v>
      </c>
      <c r="H273" s="3">
        <v>99</v>
      </c>
    </row>
    <row r="274" spans="4:8" x14ac:dyDescent="0.25">
      <c r="D274" t="s">
        <v>35</v>
      </c>
      <c r="E274" t="s">
        <v>9</v>
      </c>
      <c r="F274" t="s">
        <v>41</v>
      </c>
      <c r="G274" s="5">
        <v>567</v>
      </c>
      <c r="H274" s="3">
        <v>228</v>
      </c>
    </row>
    <row r="275" spans="4:8" x14ac:dyDescent="0.25">
      <c r="D275" t="s">
        <v>16</v>
      </c>
      <c r="E275" t="s">
        <v>6</v>
      </c>
      <c r="F275" t="s">
        <v>7</v>
      </c>
      <c r="G275" s="5">
        <v>560</v>
      </c>
      <c r="H275" s="3">
        <v>81</v>
      </c>
    </row>
    <row r="276" spans="4:8" x14ac:dyDescent="0.25">
      <c r="D276" t="s">
        <v>26</v>
      </c>
      <c r="E276" t="s">
        <v>9</v>
      </c>
      <c r="F276" t="s">
        <v>36</v>
      </c>
      <c r="G276" s="5">
        <v>553</v>
      </c>
      <c r="H276" s="3">
        <v>15</v>
      </c>
    </row>
    <row r="277" spans="4:8" x14ac:dyDescent="0.25">
      <c r="D277" t="s">
        <v>16</v>
      </c>
      <c r="E277" t="s">
        <v>30</v>
      </c>
      <c r="F277" t="s">
        <v>12</v>
      </c>
      <c r="G277" s="5">
        <v>525</v>
      </c>
      <c r="H277" s="3">
        <v>48</v>
      </c>
    </row>
    <row r="278" spans="4:8" x14ac:dyDescent="0.25">
      <c r="D278" t="s">
        <v>25</v>
      </c>
      <c r="E278" t="s">
        <v>6</v>
      </c>
      <c r="F278" t="s">
        <v>22</v>
      </c>
      <c r="G278" s="5">
        <v>518</v>
      </c>
      <c r="H278" s="3">
        <v>75</v>
      </c>
    </row>
    <row r="279" spans="4:8" x14ac:dyDescent="0.25">
      <c r="D279" t="s">
        <v>16</v>
      </c>
      <c r="E279" t="s">
        <v>14</v>
      </c>
      <c r="F279" t="s">
        <v>41</v>
      </c>
      <c r="G279" s="5">
        <v>497</v>
      </c>
      <c r="H279" s="3">
        <v>63</v>
      </c>
    </row>
    <row r="280" spans="4:8" x14ac:dyDescent="0.25">
      <c r="D280" t="s">
        <v>25</v>
      </c>
      <c r="E280" t="s">
        <v>9</v>
      </c>
      <c r="F280" t="s">
        <v>22</v>
      </c>
      <c r="G280" s="5">
        <v>490</v>
      </c>
      <c r="H280" s="3">
        <v>84</v>
      </c>
    </row>
    <row r="281" spans="4:8" x14ac:dyDescent="0.25">
      <c r="D281" t="s">
        <v>16</v>
      </c>
      <c r="E281" t="s">
        <v>20</v>
      </c>
      <c r="F281" t="s">
        <v>18</v>
      </c>
      <c r="G281" s="5">
        <v>469</v>
      </c>
      <c r="H281" s="3">
        <v>75</v>
      </c>
    </row>
    <row r="282" spans="4:8" x14ac:dyDescent="0.25">
      <c r="D282" t="s">
        <v>8</v>
      </c>
      <c r="E282" t="s">
        <v>6</v>
      </c>
      <c r="F282" t="s">
        <v>41</v>
      </c>
      <c r="G282" s="5">
        <v>434</v>
      </c>
      <c r="H282" s="3">
        <v>87</v>
      </c>
    </row>
    <row r="283" spans="4:8" x14ac:dyDescent="0.25">
      <c r="D283" t="s">
        <v>25</v>
      </c>
      <c r="E283" t="s">
        <v>17</v>
      </c>
      <c r="F283" t="s">
        <v>15</v>
      </c>
      <c r="G283" s="5">
        <v>385</v>
      </c>
      <c r="H283" s="3">
        <v>249</v>
      </c>
    </row>
    <row r="284" spans="4:8" x14ac:dyDescent="0.25">
      <c r="D284" t="s">
        <v>8</v>
      </c>
      <c r="E284" t="s">
        <v>9</v>
      </c>
      <c r="F284" t="s">
        <v>19</v>
      </c>
      <c r="G284" s="5">
        <v>357</v>
      </c>
      <c r="H284" s="3">
        <v>126</v>
      </c>
    </row>
    <row r="285" spans="4:8" x14ac:dyDescent="0.25">
      <c r="D285" t="s">
        <v>13</v>
      </c>
      <c r="E285" t="s">
        <v>30</v>
      </c>
      <c r="F285" t="s">
        <v>22</v>
      </c>
      <c r="G285" s="5">
        <v>336</v>
      </c>
      <c r="H285" s="3">
        <v>144</v>
      </c>
    </row>
    <row r="286" spans="4:8" x14ac:dyDescent="0.25">
      <c r="D286" t="s">
        <v>23</v>
      </c>
      <c r="E286" t="s">
        <v>14</v>
      </c>
      <c r="F286" t="s">
        <v>10</v>
      </c>
      <c r="G286" s="5">
        <v>280</v>
      </c>
      <c r="H286" s="3">
        <v>87</v>
      </c>
    </row>
    <row r="287" spans="4:8" x14ac:dyDescent="0.25">
      <c r="D287" t="s">
        <v>11</v>
      </c>
      <c r="E287" t="s">
        <v>6</v>
      </c>
      <c r="F287" t="s">
        <v>12</v>
      </c>
      <c r="G287" s="5">
        <v>259</v>
      </c>
      <c r="H287" s="3">
        <v>207</v>
      </c>
    </row>
    <row r="288" spans="4:8" x14ac:dyDescent="0.25">
      <c r="D288" t="s">
        <v>26</v>
      </c>
      <c r="E288" t="s">
        <v>30</v>
      </c>
      <c r="F288" t="s">
        <v>31</v>
      </c>
      <c r="G288" s="5">
        <v>252</v>
      </c>
      <c r="H288" s="3">
        <v>54</v>
      </c>
    </row>
    <row r="289" spans="4:8" x14ac:dyDescent="0.25">
      <c r="D289" t="s">
        <v>35</v>
      </c>
      <c r="E289" t="s">
        <v>6</v>
      </c>
      <c r="F289" t="s">
        <v>41</v>
      </c>
      <c r="G289" s="5">
        <v>245</v>
      </c>
      <c r="H289" s="3">
        <v>288</v>
      </c>
    </row>
    <row r="290" spans="4:8" x14ac:dyDescent="0.25">
      <c r="D290" t="s">
        <v>26</v>
      </c>
      <c r="E290" t="s">
        <v>6</v>
      </c>
      <c r="F290" t="s">
        <v>36</v>
      </c>
      <c r="G290" s="5">
        <v>238</v>
      </c>
      <c r="H290" s="3">
        <v>18</v>
      </c>
    </row>
    <row r="291" spans="4:8" x14ac:dyDescent="0.25">
      <c r="D291" t="s">
        <v>5</v>
      </c>
      <c r="E291" t="s">
        <v>14</v>
      </c>
      <c r="F291" t="s">
        <v>12</v>
      </c>
      <c r="G291" s="5">
        <v>217</v>
      </c>
      <c r="H291" s="3">
        <v>36</v>
      </c>
    </row>
    <row r="292" spans="4:8" x14ac:dyDescent="0.25">
      <c r="D292" t="s">
        <v>26</v>
      </c>
      <c r="E292" t="s">
        <v>14</v>
      </c>
      <c r="F292" t="s">
        <v>28</v>
      </c>
      <c r="G292" s="5">
        <v>189</v>
      </c>
      <c r="H292" s="3">
        <v>48</v>
      </c>
    </row>
    <row r="293" spans="4:8" x14ac:dyDescent="0.25">
      <c r="D293" t="s">
        <v>25</v>
      </c>
      <c r="E293" t="s">
        <v>6</v>
      </c>
      <c r="F293" t="s">
        <v>21</v>
      </c>
      <c r="G293" s="5">
        <v>182</v>
      </c>
      <c r="H293" s="3">
        <v>48</v>
      </c>
    </row>
    <row r="294" spans="4:8" x14ac:dyDescent="0.25">
      <c r="D294" t="s">
        <v>8</v>
      </c>
      <c r="E294" t="s">
        <v>20</v>
      </c>
      <c r="F294" t="s">
        <v>22</v>
      </c>
      <c r="G294" s="5">
        <v>168</v>
      </c>
      <c r="H294" s="3">
        <v>84</v>
      </c>
    </row>
    <row r="295" spans="4:8" x14ac:dyDescent="0.25">
      <c r="D295" t="s">
        <v>13</v>
      </c>
      <c r="E295" t="s">
        <v>20</v>
      </c>
      <c r="F295" t="s">
        <v>18</v>
      </c>
      <c r="G295" s="5">
        <v>154</v>
      </c>
      <c r="H295" s="3">
        <v>21</v>
      </c>
    </row>
    <row r="296" spans="4:8" x14ac:dyDescent="0.25">
      <c r="D296" t="s">
        <v>11</v>
      </c>
      <c r="E296" t="s">
        <v>9</v>
      </c>
      <c r="F296" t="s">
        <v>42</v>
      </c>
      <c r="G296" s="5">
        <v>98</v>
      </c>
      <c r="H296" s="3">
        <v>159</v>
      </c>
    </row>
    <row r="297" spans="4:8" x14ac:dyDescent="0.25">
      <c r="D297" t="s">
        <v>13</v>
      </c>
      <c r="E297" t="s">
        <v>14</v>
      </c>
      <c r="F297" t="s">
        <v>42</v>
      </c>
      <c r="G297" s="5">
        <v>98</v>
      </c>
      <c r="H297" s="3">
        <v>204</v>
      </c>
    </row>
    <row r="298" spans="4:8" x14ac:dyDescent="0.25">
      <c r="D298" t="s">
        <v>35</v>
      </c>
      <c r="E298" t="s">
        <v>20</v>
      </c>
      <c r="F298" t="s">
        <v>31</v>
      </c>
      <c r="G298" s="5">
        <v>63</v>
      </c>
      <c r="H298" s="3">
        <v>123</v>
      </c>
    </row>
    <row r="299" spans="4:8" x14ac:dyDescent="0.25">
      <c r="D299" t="s">
        <v>26</v>
      </c>
      <c r="E299" t="s">
        <v>20</v>
      </c>
      <c r="F299" t="s">
        <v>31</v>
      </c>
      <c r="G299" s="5">
        <v>56</v>
      </c>
      <c r="H299" s="3">
        <v>51</v>
      </c>
    </row>
    <row r="300" spans="4:8" x14ac:dyDescent="0.25">
      <c r="D300" t="s">
        <v>8</v>
      </c>
      <c r="E300" t="s">
        <v>6</v>
      </c>
      <c r="F300" t="s">
        <v>7</v>
      </c>
      <c r="G300" s="5">
        <v>42</v>
      </c>
      <c r="H300" s="3">
        <v>150</v>
      </c>
    </row>
    <row r="301" spans="4:8" x14ac:dyDescent="0.25">
      <c r="D301" t="s">
        <v>27</v>
      </c>
      <c r="E301" t="s">
        <v>17</v>
      </c>
      <c r="F301" t="s">
        <v>29</v>
      </c>
      <c r="G301" s="5">
        <v>21</v>
      </c>
      <c r="H301" s="3">
        <v>168</v>
      </c>
    </row>
    <row r="302" spans="4:8" x14ac:dyDescent="0.25">
      <c r="D302" t="s">
        <v>5</v>
      </c>
      <c r="E302" t="s">
        <v>17</v>
      </c>
      <c r="F302" t="s">
        <v>32</v>
      </c>
      <c r="G302" s="5">
        <v>0</v>
      </c>
      <c r="H302" s="3">
        <v>135</v>
      </c>
    </row>
  </sheetData>
  <mergeCells count="1">
    <mergeCell ref="B1:I1"/>
  </mergeCells>
  <conditionalFormatting sqref="G3:G302">
    <cfRule type="colorScale" priority="2">
      <colorScale>
        <cfvo type="min"/>
        <cfvo type="max"/>
        <color rgb="FFFFEF9C"/>
        <color rgb="FF63BE7B"/>
      </colorScale>
    </cfRule>
  </conditionalFormatting>
  <conditionalFormatting sqref="H3:H302">
    <cfRule type="cellIs" dxfId="0" priority="1" operator="lessThan">
      <formula>200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C6C36-311C-41A1-A428-D45225BE3239}">
  <dimension ref="B1:G8"/>
  <sheetViews>
    <sheetView zoomScale="212" zoomScaleNormal="212" workbookViewId="0">
      <selection activeCell="F8" sqref="F8"/>
    </sheetView>
  </sheetViews>
  <sheetFormatPr defaultRowHeight="15" x14ac:dyDescent="0.25"/>
  <cols>
    <col min="1" max="1" width="7.140625" customWidth="1"/>
    <col min="3" max="3" width="12" customWidth="1"/>
    <col min="4" max="4" width="13.42578125" bestFit="1" customWidth="1"/>
    <col min="5" max="5" width="10.28515625" customWidth="1"/>
  </cols>
  <sheetData>
    <row r="1" spans="2:7" ht="25.5" x14ac:dyDescent="0.4">
      <c r="B1" s="26" t="s">
        <v>78</v>
      </c>
      <c r="C1" s="25"/>
      <c r="D1" s="25"/>
      <c r="E1" s="25"/>
      <c r="F1" s="25"/>
      <c r="G1" s="25"/>
    </row>
    <row r="2" spans="2:7" x14ac:dyDescent="0.25">
      <c r="C2" s="1" t="s">
        <v>51</v>
      </c>
      <c r="D2" s="13" t="s">
        <v>3</v>
      </c>
      <c r="E2" s="13" t="s">
        <v>62</v>
      </c>
      <c r="F2" s="1" t="s">
        <v>4</v>
      </c>
    </row>
    <row r="3" spans="2:7" x14ac:dyDescent="0.25">
      <c r="C3" s="6" t="s">
        <v>14</v>
      </c>
      <c r="D3" s="9">
        <f>SUMIFS(Data[Amount],Data[Geography],$C$3)</f>
        <v>237944</v>
      </c>
      <c r="E3" s="9">
        <f>SUMIFS(Data[Amount],Data[Geography],$C3)</f>
        <v>237944</v>
      </c>
      <c r="F3">
        <f>SUMIFS(Data[Units],Data[Geography],$C3)</f>
        <v>7302</v>
      </c>
    </row>
    <row r="4" spans="2:7" x14ac:dyDescent="0.25">
      <c r="C4" s="6" t="s">
        <v>30</v>
      </c>
      <c r="D4" s="9">
        <f>SUMIFS(Data[Amount],Data[Geography],C4)</f>
        <v>252469</v>
      </c>
      <c r="E4" s="9">
        <f>SUMIFS(Data[Amount],Data[Geography],$C4)</f>
        <v>252469</v>
      </c>
      <c r="F4">
        <f>SUMIFS(Data[Units],Data[Geography],$C4)</f>
        <v>8760</v>
      </c>
    </row>
    <row r="5" spans="2:7" x14ac:dyDescent="0.25">
      <c r="C5" s="6" t="s">
        <v>9</v>
      </c>
      <c r="D5" s="9">
        <f>SUMIFS(Data[Amount],Data[Geography],C5)</f>
        <v>189434</v>
      </c>
      <c r="E5" s="9">
        <f>SUMIFS(Data[Amount],Data[Geography],$C5)</f>
        <v>189434</v>
      </c>
      <c r="F5">
        <f>SUMIFS(Data[Units],Data[Geography],$C5)</f>
        <v>10158</v>
      </c>
    </row>
    <row r="6" spans="2:7" x14ac:dyDescent="0.25">
      <c r="C6" s="6" t="s">
        <v>17</v>
      </c>
      <c r="D6" s="9">
        <f>SUMIFS(Data[Amount],Data[Geography],C6)</f>
        <v>173530</v>
      </c>
      <c r="E6" s="9">
        <f>SUMIFS(Data[Amount],Data[Geography],$C6)</f>
        <v>173530</v>
      </c>
      <c r="F6">
        <f>SUMIFS(Data[Units],Data[Geography],$C6)</f>
        <v>5745</v>
      </c>
    </row>
    <row r="7" spans="2:7" x14ac:dyDescent="0.25">
      <c r="C7" s="6" t="s">
        <v>6</v>
      </c>
      <c r="D7" s="9">
        <f>SUMIFS(Data[Amount],Data[Geography],C7)</f>
        <v>218813</v>
      </c>
      <c r="E7" s="9">
        <f>SUMIFS(Data[Amount],Data[Geography],$C7)</f>
        <v>218813</v>
      </c>
      <c r="F7">
        <f>SUMIFS(Data[Units],Data[Geography],$C7)</f>
        <v>7431</v>
      </c>
      <c r="G7" s="5"/>
    </row>
    <row r="8" spans="2:7" x14ac:dyDescent="0.25">
      <c r="C8" s="6" t="s">
        <v>20</v>
      </c>
      <c r="D8" s="9">
        <f>SUMIFS(Data[Amount],Data[Geography],C8)</f>
        <v>168679</v>
      </c>
      <c r="E8" s="9">
        <f>SUMIFS(Data[Amount],Data[Geography],$C8)</f>
        <v>168679</v>
      </c>
      <c r="F8">
        <f>SUMIFS(Data[Units],Data[Geography],$C8)</f>
        <v>6264</v>
      </c>
    </row>
  </sheetData>
  <mergeCells count="1">
    <mergeCell ref="B1:G1"/>
  </mergeCells>
  <conditionalFormatting sqref="E3:E8">
    <cfRule type="dataBar" priority="1">
      <dataBar showValue="0">
        <cfvo type="min"/>
        <cfvo type="max"/>
        <color rgb="FFFFB628"/>
      </dataBar>
      <extLst>
        <ext xmlns:x14="http://schemas.microsoft.com/office/spreadsheetml/2009/9/main" uri="{B025F937-C7B1-47D3-B67F-A62EFF666E3E}">
          <x14:id>{7F7AE8CA-BEF9-4FC8-B319-08B6A67393AE}</x14:id>
        </ext>
      </extLst>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7F7AE8CA-BEF9-4FC8-B319-08B6A67393AE}">
            <x14:dataBar minLength="0" maxLength="100" gradient="0">
              <x14:cfvo type="autoMin"/>
              <x14:cfvo type="autoMax"/>
              <x14:negativeFillColor rgb="FFFF0000"/>
              <x14:axisColor rgb="FF000000"/>
            </x14:dataBar>
          </x14:cfRule>
          <xm:sqref>E3:E8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4076F-6459-44B3-850A-FF43B5894A8B}">
  <dimension ref="B1:I8"/>
  <sheetViews>
    <sheetView zoomScale="160" zoomScaleNormal="160" workbookViewId="0">
      <selection activeCell="D14" sqref="D14"/>
    </sheetView>
  </sheetViews>
  <sheetFormatPr defaultRowHeight="15" x14ac:dyDescent="0.25"/>
  <cols>
    <col min="1" max="1" width="3.42578125" customWidth="1"/>
    <col min="2" max="2" width="12.42578125" bestFit="1" customWidth="1"/>
    <col min="3" max="3" width="14" customWidth="1"/>
    <col min="4" max="4" width="12.5703125" bestFit="1" customWidth="1"/>
    <col min="5" max="5" width="11.42578125" bestFit="1" customWidth="1"/>
    <col min="6" max="6" width="12.42578125" bestFit="1" customWidth="1"/>
    <col min="7" max="7" width="14" bestFit="1" customWidth="1"/>
    <col min="8" max="8" width="16.5703125" customWidth="1"/>
    <col min="9" max="9" width="11.42578125" bestFit="1" customWidth="1"/>
    <col min="13" max="14" width="8.7109375" customWidth="1"/>
    <col min="15" max="15" width="13.28515625" customWidth="1"/>
    <col min="21" max="21" width="24.85546875" customWidth="1"/>
    <col min="22" max="22" width="13.85546875" customWidth="1"/>
    <col min="23" max="23" width="14.42578125" customWidth="1"/>
    <col min="24" max="24" width="12.7109375" customWidth="1"/>
    <col min="25" max="25" width="11.28515625" customWidth="1"/>
  </cols>
  <sheetData>
    <row r="1" spans="2:9" ht="39" x14ac:dyDescent="0.6">
      <c r="B1" s="27" t="s">
        <v>79</v>
      </c>
      <c r="C1" s="25"/>
      <c r="D1" s="25"/>
      <c r="E1" s="25"/>
      <c r="F1" s="25"/>
      <c r="G1" s="25"/>
      <c r="H1" s="25"/>
      <c r="I1" s="25"/>
    </row>
    <row r="2" spans="2:9" x14ac:dyDescent="0.25">
      <c r="B2" s="10" t="s">
        <v>52</v>
      </c>
      <c r="C2" t="s">
        <v>54</v>
      </c>
      <c r="D2" t="s">
        <v>57</v>
      </c>
      <c r="E2" t="s">
        <v>56</v>
      </c>
    </row>
    <row r="3" spans="2:9" x14ac:dyDescent="0.25">
      <c r="B3" s="11" t="s">
        <v>14</v>
      </c>
      <c r="C3" s="5">
        <v>39242</v>
      </c>
      <c r="D3" s="9">
        <v>39242</v>
      </c>
      <c r="E3" s="3">
        <v>1482</v>
      </c>
    </row>
    <row r="4" spans="2:9" x14ac:dyDescent="0.25">
      <c r="B4" s="11" t="s">
        <v>6</v>
      </c>
      <c r="C4" s="5">
        <v>17283</v>
      </c>
      <c r="D4" s="9">
        <v>17283</v>
      </c>
      <c r="E4" s="3">
        <v>882</v>
      </c>
    </row>
    <row r="5" spans="2:9" x14ac:dyDescent="0.25">
      <c r="B5" s="11" t="s">
        <v>30</v>
      </c>
      <c r="C5" s="5">
        <v>15855</v>
      </c>
      <c r="D5" s="9">
        <v>15855</v>
      </c>
      <c r="E5" s="3">
        <v>708</v>
      </c>
    </row>
    <row r="6" spans="2:9" x14ac:dyDescent="0.25">
      <c r="B6" s="11" t="s">
        <v>9</v>
      </c>
      <c r="C6" s="5">
        <v>15785</v>
      </c>
      <c r="D6" s="9">
        <v>15785</v>
      </c>
      <c r="E6" s="3">
        <v>699</v>
      </c>
    </row>
    <row r="7" spans="2:9" x14ac:dyDescent="0.25">
      <c r="B7" s="11" t="s">
        <v>20</v>
      </c>
      <c r="C7" s="5">
        <v>6069</v>
      </c>
      <c r="D7" s="9">
        <v>6069</v>
      </c>
      <c r="E7" s="3">
        <v>24</v>
      </c>
    </row>
    <row r="8" spans="2:9" x14ac:dyDescent="0.25">
      <c r="B8" s="11" t="s">
        <v>17</v>
      </c>
      <c r="C8" s="5">
        <v>3976</v>
      </c>
      <c r="D8" s="9">
        <v>3976</v>
      </c>
      <c r="E8" s="3">
        <v>72</v>
      </c>
    </row>
  </sheetData>
  <mergeCells count="1">
    <mergeCell ref="B1:I1"/>
  </mergeCells>
  <conditionalFormatting pivot="1" sqref="D3:D8">
    <cfRule type="dataBar" priority="1">
      <dataBar showValue="0">
        <cfvo type="min"/>
        <cfvo type="max"/>
        <color theme="5" tint="-0.499984740745262"/>
      </dataBar>
      <extLst>
        <ext xmlns:x14="http://schemas.microsoft.com/office/spreadsheetml/2009/9/main" uri="{B025F937-C7B1-47D3-B67F-A62EFF666E3E}">
          <x14:id>{ECF3977E-B206-4766-89E1-09018802FFC5}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ECF3977E-B206-4766-89E1-09018802FFC5}">
            <x14:dataBar minLength="0" maxLength="100" gradient="0">
              <x14:cfvo type="autoMin"/>
              <x14:cfvo type="autoMax"/>
              <x14:negativeFillColor rgb="FFFF0000"/>
              <x14:axisColor rgb="FF000000"/>
            </x14:dataBar>
          </x14:cfRule>
          <xm:sqref>D3:D8</xm:sqref>
        </x14:conditionalFormatting>
      </x14:conditionalFormattings>
    </ex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97E8-D400-4414-81ED-7364029B4F02}">
  <dimension ref="B1:E303"/>
  <sheetViews>
    <sheetView zoomScale="176" zoomScaleNormal="176" workbookViewId="0">
      <selection activeCell="G13" sqref="G13"/>
    </sheetView>
  </sheetViews>
  <sheetFormatPr defaultRowHeight="15" x14ac:dyDescent="0.25"/>
  <cols>
    <col min="1" max="1" width="15.42578125" customWidth="1"/>
    <col min="2" max="2" width="14.85546875" customWidth="1"/>
    <col min="3" max="3" width="20.42578125" bestFit="1" customWidth="1"/>
    <col min="4" max="4" width="12.140625" bestFit="1" customWidth="1"/>
    <col min="5" max="5" width="15.5703125" customWidth="1"/>
    <col min="6" max="6" width="12.140625" bestFit="1" customWidth="1"/>
  </cols>
  <sheetData>
    <row r="1" spans="2:5" ht="28.5" x14ac:dyDescent="0.45">
      <c r="B1" s="28" t="s">
        <v>80</v>
      </c>
      <c r="C1" s="25"/>
      <c r="D1" s="25"/>
      <c r="E1" s="25"/>
    </row>
    <row r="2" spans="2:5" x14ac:dyDescent="0.25">
      <c r="C2" s="10" t="s">
        <v>52</v>
      </c>
      <c r="D2" t="s">
        <v>60</v>
      </c>
    </row>
    <row r="3" spans="2:5" x14ac:dyDescent="0.25">
      <c r="C3" s="11" t="s">
        <v>37</v>
      </c>
      <c r="D3" s="16">
        <v>44.990867579908674</v>
      </c>
    </row>
    <row r="4" spans="2:5" x14ac:dyDescent="0.25">
      <c r="C4" s="11" t="s">
        <v>19</v>
      </c>
      <c r="D4" s="16">
        <v>37.303128371089535</v>
      </c>
    </row>
    <row r="5" spans="2:5" x14ac:dyDescent="0.25">
      <c r="C5" s="11" t="s">
        <v>38</v>
      </c>
      <c r="D5" s="16">
        <v>33.88697318007663</v>
      </c>
    </row>
    <row r="6" spans="2:5" x14ac:dyDescent="0.25">
      <c r="C6" s="11" t="s">
        <v>42</v>
      </c>
      <c r="D6" s="16">
        <v>32.807189542483663</v>
      </c>
    </row>
    <row r="7" spans="2:5" x14ac:dyDescent="0.25">
      <c r="C7" s="11" t="s">
        <v>22</v>
      </c>
      <c r="D7" s="16">
        <v>32.301656920077974</v>
      </c>
    </row>
    <row r="8" spans="2:5" x14ac:dyDescent="0.25">
      <c r="C8" s="11" t="s">
        <v>10</v>
      </c>
      <c r="D8" s="16">
        <v>31.276401564537156</v>
      </c>
    </row>
    <row r="9" spans="2:5" x14ac:dyDescent="0.25">
      <c r="C9" s="11" t="s">
        <v>34</v>
      </c>
      <c r="D9" s="16">
        <v>31.260485651214129</v>
      </c>
    </row>
    <row r="10" spans="2:5" x14ac:dyDescent="0.25">
      <c r="C10" s="11" t="s">
        <v>15</v>
      </c>
      <c r="D10" s="16">
        <v>29.765981735159816</v>
      </c>
    </row>
    <row r="11" spans="2:5" x14ac:dyDescent="0.25">
      <c r="C11" s="11" t="s">
        <v>41</v>
      </c>
      <c r="D11" s="16">
        <v>28.877675840978593</v>
      </c>
    </row>
    <row r="12" spans="2:5" x14ac:dyDescent="0.25">
      <c r="C12" s="11" t="s">
        <v>29</v>
      </c>
      <c r="D12" s="16">
        <v>28.835190343546891</v>
      </c>
    </row>
    <row r="13" spans="2:5" x14ac:dyDescent="0.25">
      <c r="C13" s="11" t="s">
        <v>53</v>
      </c>
      <c r="D13" s="16">
        <v>32.904913101604279</v>
      </c>
    </row>
    <row r="27" spans="4:4" x14ac:dyDescent="0.25">
      <c r="D27" s="3"/>
    </row>
    <row r="28" spans="4:4" x14ac:dyDescent="0.25">
      <c r="D28" s="3"/>
    </row>
    <row r="29" spans="4:4" x14ac:dyDescent="0.25">
      <c r="D29" s="3"/>
    </row>
    <row r="30" spans="4:4" x14ac:dyDescent="0.25">
      <c r="D30" s="3"/>
    </row>
    <row r="31" spans="4:4" x14ac:dyDescent="0.25">
      <c r="D31" s="3"/>
    </row>
    <row r="32" spans="4:4" x14ac:dyDescent="0.25">
      <c r="D32" s="3"/>
    </row>
    <row r="33" spans="4:4" x14ac:dyDescent="0.25">
      <c r="D33" s="3"/>
    </row>
    <row r="34" spans="4:4" x14ac:dyDescent="0.25">
      <c r="D34" s="3"/>
    </row>
    <row r="35" spans="4:4" x14ac:dyDescent="0.25">
      <c r="D35" s="3"/>
    </row>
    <row r="36" spans="4:4" x14ac:dyDescent="0.25">
      <c r="D36" s="3"/>
    </row>
    <row r="37" spans="4:4" x14ac:dyDescent="0.25">
      <c r="D37" s="3"/>
    </row>
    <row r="38" spans="4:4" x14ac:dyDescent="0.25">
      <c r="D38" s="3"/>
    </row>
    <row r="39" spans="4:4" x14ac:dyDescent="0.25">
      <c r="D39" s="3"/>
    </row>
    <row r="40" spans="4:4" x14ac:dyDescent="0.25">
      <c r="D40" s="3"/>
    </row>
    <row r="41" spans="4:4" x14ac:dyDescent="0.25">
      <c r="D41" s="3"/>
    </row>
    <row r="42" spans="4:4" x14ac:dyDescent="0.25">
      <c r="D42" s="3"/>
    </row>
    <row r="43" spans="4:4" x14ac:dyDescent="0.25">
      <c r="D43" s="3"/>
    </row>
    <row r="44" spans="4:4" x14ac:dyDescent="0.25">
      <c r="D44" s="3"/>
    </row>
    <row r="45" spans="4:4" x14ac:dyDescent="0.25">
      <c r="D45" s="3"/>
    </row>
    <row r="46" spans="4:4" x14ac:dyDescent="0.25">
      <c r="D46" s="3"/>
    </row>
    <row r="47" spans="4:4" x14ac:dyDescent="0.25">
      <c r="D47" s="3"/>
    </row>
    <row r="48" spans="4:4" x14ac:dyDescent="0.25">
      <c r="D48" s="3"/>
    </row>
    <row r="49" spans="4:4" x14ac:dyDescent="0.25">
      <c r="D49" s="3"/>
    </row>
    <row r="50" spans="4:4" x14ac:dyDescent="0.25">
      <c r="D50" s="3"/>
    </row>
    <row r="51" spans="4:4" x14ac:dyDescent="0.25">
      <c r="D51" s="3"/>
    </row>
    <row r="52" spans="4:4" x14ac:dyDescent="0.25">
      <c r="D52" s="3"/>
    </row>
    <row r="53" spans="4:4" x14ac:dyDescent="0.25">
      <c r="D53" s="3"/>
    </row>
    <row r="54" spans="4:4" x14ac:dyDescent="0.25">
      <c r="D54" s="3"/>
    </row>
    <row r="55" spans="4:4" x14ac:dyDescent="0.25">
      <c r="D55" s="3"/>
    </row>
    <row r="56" spans="4:4" x14ac:dyDescent="0.25">
      <c r="D56" s="3"/>
    </row>
    <row r="57" spans="4:4" x14ac:dyDescent="0.25">
      <c r="D57" s="3"/>
    </row>
    <row r="58" spans="4:4" x14ac:dyDescent="0.25">
      <c r="D58" s="3"/>
    </row>
    <row r="59" spans="4:4" x14ac:dyDescent="0.25">
      <c r="D59" s="3"/>
    </row>
    <row r="60" spans="4:4" x14ac:dyDescent="0.25">
      <c r="D60" s="3"/>
    </row>
    <row r="61" spans="4:4" x14ac:dyDescent="0.25">
      <c r="D61" s="3"/>
    </row>
    <row r="62" spans="4:4" x14ac:dyDescent="0.25">
      <c r="D62" s="3"/>
    </row>
    <row r="63" spans="4:4" x14ac:dyDescent="0.25">
      <c r="D63" s="3"/>
    </row>
    <row r="64" spans="4:4" x14ac:dyDescent="0.25">
      <c r="D64" s="3"/>
    </row>
    <row r="65" spans="4:4" x14ac:dyDescent="0.25">
      <c r="D65" s="3"/>
    </row>
    <row r="66" spans="4:4" x14ac:dyDescent="0.25">
      <c r="D66" s="3"/>
    </row>
    <row r="67" spans="4:4" x14ac:dyDescent="0.25">
      <c r="D67" s="3"/>
    </row>
    <row r="68" spans="4:4" x14ac:dyDescent="0.25">
      <c r="D68" s="3"/>
    </row>
    <row r="69" spans="4:4" x14ac:dyDescent="0.25">
      <c r="D69" s="3"/>
    </row>
    <row r="70" spans="4:4" x14ac:dyDescent="0.25">
      <c r="D70" s="3"/>
    </row>
    <row r="71" spans="4:4" x14ac:dyDescent="0.25">
      <c r="D71" s="3"/>
    </row>
    <row r="72" spans="4:4" x14ac:dyDescent="0.25">
      <c r="D72" s="3"/>
    </row>
    <row r="73" spans="4:4" x14ac:dyDescent="0.25">
      <c r="D73" s="3"/>
    </row>
    <row r="74" spans="4:4" x14ac:dyDescent="0.25">
      <c r="D74" s="3"/>
    </row>
    <row r="75" spans="4:4" x14ac:dyDescent="0.25">
      <c r="D75" s="3"/>
    </row>
    <row r="76" spans="4:4" x14ac:dyDescent="0.25">
      <c r="D76" s="3"/>
    </row>
    <row r="77" spans="4:4" x14ac:dyDescent="0.25">
      <c r="D77" s="3"/>
    </row>
    <row r="78" spans="4:4" x14ac:dyDescent="0.25">
      <c r="D78" s="3"/>
    </row>
    <row r="79" spans="4:4" x14ac:dyDescent="0.25">
      <c r="D79" s="3"/>
    </row>
    <row r="80" spans="4:4" x14ac:dyDescent="0.25">
      <c r="D80" s="3"/>
    </row>
    <row r="81" spans="4:4" x14ac:dyDescent="0.25">
      <c r="D81" s="3"/>
    </row>
    <row r="82" spans="4:4" x14ac:dyDescent="0.25">
      <c r="D82" s="3"/>
    </row>
    <row r="83" spans="4:4" x14ac:dyDescent="0.25">
      <c r="D83" s="3"/>
    </row>
    <row r="84" spans="4:4" x14ac:dyDescent="0.25">
      <c r="D84" s="3"/>
    </row>
    <row r="85" spans="4:4" x14ac:dyDescent="0.25">
      <c r="D85" s="3"/>
    </row>
    <row r="86" spans="4:4" x14ac:dyDescent="0.25">
      <c r="D86" s="3"/>
    </row>
    <row r="87" spans="4:4" x14ac:dyDescent="0.25">
      <c r="D87" s="3"/>
    </row>
    <row r="88" spans="4:4" x14ac:dyDescent="0.25">
      <c r="D88" s="3"/>
    </row>
    <row r="89" spans="4:4" x14ac:dyDescent="0.25">
      <c r="D89" s="3"/>
    </row>
    <row r="90" spans="4:4" x14ac:dyDescent="0.25">
      <c r="D90" s="3"/>
    </row>
    <row r="91" spans="4:4" x14ac:dyDescent="0.25">
      <c r="D91" s="3"/>
    </row>
    <row r="92" spans="4:4" x14ac:dyDescent="0.25">
      <c r="D92" s="3"/>
    </row>
    <row r="93" spans="4:4" x14ac:dyDescent="0.25">
      <c r="D93" s="3"/>
    </row>
    <row r="94" spans="4:4" x14ac:dyDescent="0.25">
      <c r="D94" s="3"/>
    </row>
    <row r="95" spans="4:4" x14ac:dyDescent="0.25">
      <c r="D95" s="3"/>
    </row>
    <row r="96" spans="4:4" x14ac:dyDescent="0.25">
      <c r="D96" s="3"/>
    </row>
    <row r="97" spans="4:4" x14ac:dyDescent="0.25">
      <c r="D97" s="3"/>
    </row>
    <row r="98" spans="4:4" x14ac:dyDescent="0.25">
      <c r="D98" s="3"/>
    </row>
    <row r="99" spans="4:4" x14ac:dyDescent="0.25">
      <c r="D99" s="3"/>
    </row>
    <row r="100" spans="4:4" x14ac:dyDescent="0.25">
      <c r="D100" s="3"/>
    </row>
    <row r="101" spans="4:4" x14ac:dyDescent="0.25">
      <c r="D101" s="3"/>
    </row>
    <row r="102" spans="4:4" x14ac:dyDescent="0.25">
      <c r="D102" s="3"/>
    </row>
    <row r="103" spans="4:4" x14ac:dyDescent="0.25">
      <c r="D103" s="3"/>
    </row>
    <row r="104" spans="4:4" x14ac:dyDescent="0.25">
      <c r="D104" s="3"/>
    </row>
    <row r="105" spans="4:4" x14ac:dyDescent="0.25">
      <c r="D105" s="3"/>
    </row>
    <row r="106" spans="4:4" x14ac:dyDescent="0.25">
      <c r="D106" s="3"/>
    </row>
    <row r="107" spans="4:4" x14ac:dyDescent="0.25">
      <c r="D107" s="3"/>
    </row>
    <row r="108" spans="4:4" x14ac:dyDescent="0.25">
      <c r="D108" s="3"/>
    </row>
    <row r="109" spans="4:4" x14ac:dyDescent="0.25">
      <c r="D109" s="3"/>
    </row>
    <row r="110" spans="4:4" x14ac:dyDescent="0.25">
      <c r="D110" s="3"/>
    </row>
    <row r="111" spans="4:4" x14ac:dyDescent="0.25">
      <c r="D111" s="3"/>
    </row>
    <row r="112" spans="4:4" x14ac:dyDescent="0.25">
      <c r="D112" s="3"/>
    </row>
    <row r="113" spans="4:4" x14ac:dyDescent="0.25">
      <c r="D113" s="3"/>
    </row>
    <row r="114" spans="4:4" x14ac:dyDescent="0.25">
      <c r="D114" s="3"/>
    </row>
    <row r="115" spans="4:4" x14ac:dyDescent="0.25">
      <c r="D115" s="3"/>
    </row>
    <row r="116" spans="4:4" x14ac:dyDescent="0.25">
      <c r="D116" s="3"/>
    </row>
    <row r="117" spans="4:4" x14ac:dyDescent="0.25">
      <c r="D117" s="3"/>
    </row>
    <row r="118" spans="4:4" x14ac:dyDescent="0.25">
      <c r="D118" s="3"/>
    </row>
    <row r="119" spans="4:4" x14ac:dyDescent="0.25">
      <c r="D119" s="3"/>
    </row>
    <row r="120" spans="4:4" x14ac:dyDescent="0.25">
      <c r="D120" s="3"/>
    </row>
    <row r="121" spans="4:4" x14ac:dyDescent="0.25">
      <c r="D121" s="3"/>
    </row>
    <row r="122" spans="4:4" x14ac:dyDescent="0.25">
      <c r="D122" s="3"/>
    </row>
    <row r="123" spans="4:4" x14ac:dyDescent="0.25">
      <c r="D123" s="3"/>
    </row>
    <row r="124" spans="4:4" x14ac:dyDescent="0.25">
      <c r="D124" s="3"/>
    </row>
    <row r="125" spans="4:4" x14ac:dyDescent="0.25">
      <c r="D125" s="3"/>
    </row>
    <row r="126" spans="4:4" x14ac:dyDescent="0.25">
      <c r="D126" s="3"/>
    </row>
    <row r="127" spans="4:4" x14ac:dyDescent="0.25">
      <c r="D127" s="3"/>
    </row>
    <row r="128" spans="4:4" x14ac:dyDescent="0.25">
      <c r="D128" s="3"/>
    </row>
    <row r="129" spans="4:4" x14ac:dyDescent="0.25">
      <c r="D129" s="3"/>
    </row>
    <row r="130" spans="4:4" x14ac:dyDescent="0.25">
      <c r="D130" s="3"/>
    </row>
    <row r="131" spans="4:4" x14ac:dyDescent="0.25">
      <c r="D131" s="3"/>
    </row>
    <row r="132" spans="4:4" x14ac:dyDescent="0.25">
      <c r="D132" s="3"/>
    </row>
    <row r="133" spans="4:4" x14ac:dyDescent="0.25">
      <c r="D133" s="3"/>
    </row>
    <row r="134" spans="4:4" x14ac:dyDescent="0.25">
      <c r="D134" s="3"/>
    </row>
    <row r="135" spans="4:4" x14ac:dyDescent="0.25">
      <c r="D135" s="3"/>
    </row>
    <row r="136" spans="4:4" x14ac:dyDescent="0.25">
      <c r="D136" s="3"/>
    </row>
    <row r="137" spans="4:4" x14ac:dyDescent="0.25">
      <c r="D137" s="3"/>
    </row>
    <row r="138" spans="4:4" x14ac:dyDescent="0.25">
      <c r="D138" s="3"/>
    </row>
    <row r="139" spans="4:4" x14ac:dyDescent="0.25">
      <c r="D139" s="3"/>
    </row>
    <row r="140" spans="4:4" x14ac:dyDescent="0.25">
      <c r="D140" s="3"/>
    </row>
    <row r="141" spans="4:4" x14ac:dyDescent="0.25">
      <c r="D141" s="3"/>
    </row>
    <row r="142" spans="4:4" x14ac:dyDescent="0.25">
      <c r="D142" s="3"/>
    </row>
    <row r="143" spans="4:4" x14ac:dyDescent="0.25">
      <c r="D143" s="3"/>
    </row>
    <row r="144" spans="4:4" x14ac:dyDescent="0.25">
      <c r="D144" s="3"/>
    </row>
    <row r="145" spans="4:4" x14ac:dyDescent="0.25">
      <c r="D145" s="3"/>
    </row>
    <row r="146" spans="4:4" x14ac:dyDescent="0.25">
      <c r="D146" s="3"/>
    </row>
    <row r="147" spans="4:4" x14ac:dyDescent="0.25">
      <c r="D147" s="3"/>
    </row>
    <row r="148" spans="4:4" x14ac:dyDescent="0.25">
      <c r="D148" s="3"/>
    </row>
    <row r="149" spans="4:4" x14ac:dyDescent="0.25">
      <c r="D149" s="3"/>
    </row>
    <row r="150" spans="4:4" x14ac:dyDescent="0.25">
      <c r="D150" s="3"/>
    </row>
    <row r="151" spans="4:4" x14ac:dyDescent="0.25">
      <c r="D151" s="3"/>
    </row>
    <row r="152" spans="4:4" x14ac:dyDescent="0.25">
      <c r="D152" s="3"/>
    </row>
    <row r="153" spans="4:4" x14ac:dyDescent="0.25">
      <c r="D153" s="3"/>
    </row>
    <row r="154" spans="4:4" x14ac:dyDescent="0.25">
      <c r="D154" s="3"/>
    </row>
    <row r="155" spans="4:4" x14ac:dyDescent="0.25">
      <c r="D155" s="3"/>
    </row>
    <row r="156" spans="4:4" x14ac:dyDescent="0.25">
      <c r="D156" s="3"/>
    </row>
    <row r="157" spans="4:4" x14ac:dyDescent="0.25">
      <c r="D157" s="3"/>
    </row>
    <row r="158" spans="4:4" x14ac:dyDescent="0.25">
      <c r="D158" s="3"/>
    </row>
    <row r="159" spans="4:4" x14ac:dyDescent="0.25">
      <c r="D159" s="3"/>
    </row>
    <row r="160" spans="4:4" x14ac:dyDescent="0.25">
      <c r="D160" s="3"/>
    </row>
    <row r="161" spans="4:4" x14ac:dyDescent="0.25">
      <c r="D161" s="3"/>
    </row>
    <row r="162" spans="4:4" x14ac:dyDescent="0.25">
      <c r="D162" s="3"/>
    </row>
    <row r="163" spans="4:4" x14ac:dyDescent="0.25">
      <c r="D163" s="3"/>
    </row>
    <row r="164" spans="4:4" x14ac:dyDescent="0.25">
      <c r="D164" s="3"/>
    </row>
    <row r="165" spans="4:4" x14ac:dyDescent="0.25">
      <c r="D165" s="3"/>
    </row>
    <row r="166" spans="4:4" x14ac:dyDescent="0.25">
      <c r="D166" s="3"/>
    </row>
    <row r="167" spans="4:4" x14ac:dyDescent="0.25">
      <c r="D167" s="3"/>
    </row>
    <row r="168" spans="4:4" x14ac:dyDescent="0.25">
      <c r="D168" s="3"/>
    </row>
    <row r="169" spans="4:4" x14ac:dyDescent="0.25">
      <c r="D169" s="3"/>
    </row>
    <row r="170" spans="4:4" x14ac:dyDescent="0.25">
      <c r="D170" s="3"/>
    </row>
    <row r="171" spans="4:4" x14ac:dyDescent="0.25">
      <c r="D171" s="3"/>
    </row>
    <row r="172" spans="4:4" x14ac:dyDescent="0.25">
      <c r="D172" s="3"/>
    </row>
    <row r="173" spans="4:4" x14ac:dyDescent="0.25">
      <c r="D173" s="3"/>
    </row>
    <row r="174" spans="4:4" x14ac:dyDescent="0.25">
      <c r="D174" s="3"/>
    </row>
    <row r="175" spans="4:4" x14ac:dyDescent="0.25">
      <c r="D175" s="3"/>
    </row>
    <row r="176" spans="4:4" x14ac:dyDescent="0.25">
      <c r="D176" s="3"/>
    </row>
    <row r="177" spans="4:4" x14ac:dyDescent="0.25">
      <c r="D177" s="3"/>
    </row>
    <row r="178" spans="4:4" x14ac:dyDescent="0.25">
      <c r="D178" s="3"/>
    </row>
    <row r="179" spans="4:4" x14ac:dyDescent="0.25">
      <c r="D179" s="3"/>
    </row>
    <row r="180" spans="4:4" x14ac:dyDescent="0.25">
      <c r="D180" s="3"/>
    </row>
    <row r="181" spans="4:4" x14ac:dyDescent="0.25">
      <c r="D181" s="3"/>
    </row>
    <row r="182" spans="4:4" x14ac:dyDescent="0.25">
      <c r="D182" s="3"/>
    </row>
    <row r="183" spans="4:4" x14ac:dyDescent="0.25">
      <c r="D183" s="3"/>
    </row>
    <row r="184" spans="4:4" x14ac:dyDescent="0.25">
      <c r="D184" s="3"/>
    </row>
    <row r="185" spans="4:4" x14ac:dyDescent="0.25">
      <c r="D185" s="3"/>
    </row>
    <row r="186" spans="4:4" x14ac:dyDescent="0.25">
      <c r="D186" s="3"/>
    </row>
    <row r="187" spans="4:4" x14ac:dyDescent="0.25">
      <c r="D187" s="3"/>
    </row>
    <row r="188" spans="4:4" x14ac:dyDescent="0.25">
      <c r="D188" s="3"/>
    </row>
    <row r="189" spans="4:4" x14ac:dyDescent="0.25">
      <c r="D189" s="3"/>
    </row>
    <row r="190" spans="4:4" x14ac:dyDescent="0.25">
      <c r="D190" s="3"/>
    </row>
    <row r="191" spans="4:4" x14ac:dyDescent="0.25">
      <c r="D191" s="3"/>
    </row>
    <row r="192" spans="4:4" x14ac:dyDescent="0.25">
      <c r="D192" s="3"/>
    </row>
    <row r="193" spans="4:4" x14ac:dyDescent="0.25">
      <c r="D193" s="3"/>
    </row>
    <row r="194" spans="4:4" x14ac:dyDescent="0.25">
      <c r="D194" s="3"/>
    </row>
    <row r="195" spans="4:4" x14ac:dyDescent="0.25">
      <c r="D195" s="3"/>
    </row>
    <row r="196" spans="4:4" x14ac:dyDescent="0.25">
      <c r="D196" s="3"/>
    </row>
    <row r="197" spans="4:4" x14ac:dyDescent="0.25">
      <c r="D197" s="3"/>
    </row>
    <row r="198" spans="4:4" x14ac:dyDescent="0.25">
      <c r="D198" s="3"/>
    </row>
    <row r="199" spans="4:4" x14ac:dyDescent="0.25">
      <c r="D199" s="3"/>
    </row>
    <row r="200" spans="4:4" x14ac:dyDescent="0.25">
      <c r="D200" s="3"/>
    </row>
    <row r="201" spans="4:4" x14ac:dyDescent="0.25">
      <c r="D201" s="3"/>
    </row>
    <row r="202" spans="4:4" x14ac:dyDescent="0.25">
      <c r="D202" s="3"/>
    </row>
    <row r="203" spans="4:4" x14ac:dyDescent="0.25">
      <c r="D203" s="3"/>
    </row>
    <row r="204" spans="4:4" x14ac:dyDescent="0.25">
      <c r="D204" s="3"/>
    </row>
    <row r="205" spans="4:4" x14ac:dyDescent="0.25">
      <c r="D205" s="3"/>
    </row>
    <row r="206" spans="4:4" x14ac:dyDescent="0.25">
      <c r="D206" s="3"/>
    </row>
    <row r="207" spans="4:4" x14ac:dyDescent="0.25">
      <c r="D207" s="3"/>
    </row>
    <row r="208" spans="4:4" x14ac:dyDescent="0.25">
      <c r="D208" s="3"/>
    </row>
    <row r="209" spans="4:4" x14ac:dyDescent="0.25">
      <c r="D209" s="3"/>
    </row>
    <row r="210" spans="4:4" x14ac:dyDescent="0.25">
      <c r="D210" s="3"/>
    </row>
    <row r="211" spans="4:4" x14ac:dyDescent="0.25">
      <c r="D211" s="3"/>
    </row>
    <row r="212" spans="4:4" x14ac:dyDescent="0.25">
      <c r="D212" s="3"/>
    </row>
    <row r="213" spans="4:4" x14ac:dyDescent="0.25">
      <c r="D213" s="3"/>
    </row>
    <row r="214" spans="4:4" x14ac:dyDescent="0.25">
      <c r="D214" s="3"/>
    </row>
    <row r="215" spans="4:4" x14ac:dyDescent="0.25">
      <c r="D215" s="3"/>
    </row>
    <row r="216" spans="4:4" x14ac:dyDescent="0.25">
      <c r="D216" s="3"/>
    </row>
    <row r="217" spans="4:4" x14ac:dyDescent="0.25">
      <c r="D217" s="3"/>
    </row>
    <row r="218" spans="4:4" x14ac:dyDescent="0.25">
      <c r="D218" s="3"/>
    </row>
    <row r="219" spans="4:4" x14ac:dyDescent="0.25">
      <c r="D219" s="3"/>
    </row>
    <row r="220" spans="4:4" x14ac:dyDescent="0.25">
      <c r="D220" s="3"/>
    </row>
    <row r="221" spans="4:4" x14ac:dyDescent="0.25">
      <c r="D221" s="3"/>
    </row>
    <row r="222" spans="4:4" x14ac:dyDescent="0.25">
      <c r="D222" s="3"/>
    </row>
    <row r="223" spans="4:4" x14ac:dyDescent="0.25">
      <c r="D223" s="3"/>
    </row>
    <row r="224" spans="4:4" x14ac:dyDescent="0.25">
      <c r="D224" s="3"/>
    </row>
    <row r="225" spans="4:4" x14ac:dyDescent="0.25">
      <c r="D225" s="3"/>
    </row>
    <row r="226" spans="4:4" x14ac:dyDescent="0.25">
      <c r="D226" s="3"/>
    </row>
    <row r="227" spans="4:4" x14ac:dyDescent="0.25">
      <c r="D227" s="3"/>
    </row>
    <row r="228" spans="4:4" x14ac:dyDescent="0.25">
      <c r="D228" s="3"/>
    </row>
    <row r="229" spans="4:4" x14ac:dyDescent="0.25">
      <c r="D229" s="3"/>
    </row>
    <row r="230" spans="4:4" x14ac:dyDescent="0.25">
      <c r="D230" s="3"/>
    </row>
    <row r="231" spans="4:4" x14ac:dyDescent="0.25">
      <c r="D231" s="3"/>
    </row>
    <row r="232" spans="4:4" x14ac:dyDescent="0.25">
      <c r="D232" s="3"/>
    </row>
    <row r="233" spans="4:4" x14ac:dyDescent="0.25">
      <c r="D233" s="3"/>
    </row>
    <row r="234" spans="4:4" x14ac:dyDescent="0.25">
      <c r="D234" s="3"/>
    </row>
    <row r="235" spans="4:4" x14ac:dyDescent="0.25">
      <c r="D235" s="3"/>
    </row>
    <row r="236" spans="4:4" x14ac:dyDescent="0.25">
      <c r="D236" s="3"/>
    </row>
    <row r="237" spans="4:4" x14ac:dyDescent="0.25">
      <c r="D237" s="3"/>
    </row>
    <row r="238" spans="4:4" x14ac:dyDescent="0.25">
      <c r="D238" s="3"/>
    </row>
    <row r="239" spans="4:4" x14ac:dyDescent="0.25">
      <c r="D239" s="3"/>
    </row>
    <row r="240" spans="4:4" x14ac:dyDescent="0.25">
      <c r="D240" s="3"/>
    </row>
    <row r="241" spans="4:4" x14ac:dyDescent="0.25">
      <c r="D241" s="3"/>
    </row>
    <row r="242" spans="4:4" x14ac:dyDescent="0.25">
      <c r="D242" s="3"/>
    </row>
    <row r="243" spans="4:4" x14ac:dyDescent="0.25">
      <c r="D243" s="3"/>
    </row>
    <row r="244" spans="4:4" x14ac:dyDescent="0.25">
      <c r="D244" s="3"/>
    </row>
    <row r="245" spans="4:4" x14ac:dyDescent="0.25">
      <c r="D245" s="3"/>
    </row>
    <row r="246" spans="4:4" x14ac:dyDescent="0.25">
      <c r="D246" s="3"/>
    </row>
    <row r="247" spans="4:4" x14ac:dyDescent="0.25">
      <c r="D247" s="3"/>
    </row>
    <row r="248" spans="4:4" x14ac:dyDescent="0.25">
      <c r="D248" s="3"/>
    </row>
    <row r="249" spans="4:4" x14ac:dyDescent="0.25">
      <c r="D249" s="3"/>
    </row>
    <row r="250" spans="4:4" x14ac:dyDescent="0.25">
      <c r="D250" s="3"/>
    </row>
    <row r="251" spans="4:4" x14ac:dyDescent="0.25">
      <c r="D251" s="3"/>
    </row>
    <row r="252" spans="4:4" x14ac:dyDescent="0.25">
      <c r="D252" s="3"/>
    </row>
    <row r="253" spans="4:4" x14ac:dyDescent="0.25">
      <c r="D253" s="3"/>
    </row>
    <row r="254" spans="4:4" x14ac:dyDescent="0.25">
      <c r="D254" s="3"/>
    </row>
    <row r="255" spans="4:4" x14ac:dyDescent="0.25">
      <c r="D255" s="3"/>
    </row>
    <row r="256" spans="4:4" x14ac:dyDescent="0.25">
      <c r="D256" s="3"/>
    </row>
    <row r="257" spans="4:4" x14ac:dyDescent="0.25">
      <c r="D257" s="3"/>
    </row>
    <row r="258" spans="4:4" x14ac:dyDescent="0.25">
      <c r="D258" s="3"/>
    </row>
    <row r="259" spans="4:4" x14ac:dyDescent="0.25">
      <c r="D259" s="3"/>
    </row>
    <row r="260" spans="4:4" x14ac:dyDescent="0.25">
      <c r="D260" s="3"/>
    </row>
    <row r="261" spans="4:4" x14ac:dyDescent="0.25">
      <c r="D261" s="3"/>
    </row>
    <row r="262" spans="4:4" x14ac:dyDescent="0.25">
      <c r="D262" s="3"/>
    </row>
    <row r="263" spans="4:4" x14ac:dyDescent="0.25">
      <c r="D263" s="3"/>
    </row>
    <row r="264" spans="4:4" x14ac:dyDescent="0.25">
      <c r="D264" s="3"/>
    </row>
    <row r="265" spans="4:4" x14ac:dyDescent="0.25">
      <c r="D265" s="3"/>
    </row>
    <row r="266" spans="4:4" x14ac:dyDescent="0.25">
      <c r="D266" s="3"/>
    </row>
    <row r="267" spans="4:4" x14ac:dyDescent="0.25">
      <c r="D267" s="3"/>
    </row>
    <row r="268" spans="4:4" x14ac:dyDescent="0.25">
      <c r="D268" s="3"/>
    </row>
    <row r="269" spans="4:4" x14ac:dyDescent="0.25">
      <c r="D269" s="3"/>
    </row>
    <row r="270" spans="4:4" x14ac:dyDescent="0.25">
      <c r="D270" s="3"/>
    </row>
    <row r="271" spans="4:4" x14ac:dyDescent="0.25">
      <c r="D271" s="3"/>
    </row>
    <row r="272" spans="4:4" x14ac:dyDescent="0.25">
      <c r="D272" s="3"/>
    </row>
    <row r="273" spans="4:4" x14ac:dyDescent="0.25">
      <c r="D273" s="3"/>
    </row>
    <row r="274" spans="4:4" x14ac:dyDescent="0.25">
      <c r="D274" s="3"/>
    </row>
    <row r="275" spans="4:4" x14ac:dyDescent="0.25">
      <c r="D275" s="3"/>
    </row>
    <row r="276" spans="4:4" x14ac:dyDescent="0.25">
      <c r="D276" s="3"/>
    </row>
    <row r="277" spans="4:4" x14ac:dyDescent="0.25">
      <c r="D277" s="3"/>
    </row>
    <row r="278" spans="4:4" x14ac:dyDescent="0.25">
      <c r="D278" s="3"/>
    </row>
    <row r="279" spans="4:4" x14ac:dyDescent="0.25">
      <c r="D279" s="3"/>
    </row>
    <row r="280" spans="4:4" x14ac:dyDescent="0.25">
      <c r="D280" s="3"/>
    </row>
    <row r="281" spans="4:4" x14ac:dyDescent="0.25">
      <c r="D281" s="3"/>
    </row>
    <row r="282" spans="4:4" x14ac:dyDescent="0.25">
      <c r="D282" s="3"/>
    </row>
    <row r="283" spans="4:4" x14ac:dyDescent="0.25">
      <c r="D283" s="3"/>
    </row>
    <row r="284" spans="4:4" x14ac:dyDescent="0.25">
      <c r="D284" s="3"/>
    </row>
    <row r="285" spans="4:4" x14ac:dyDescent="0.25">
      <c r="D285" s="3"/>
    </row>
    <row r="286" spans="4:4" x14ac:dyDescent="0.25">
      <c r="D286" s="3"/>
    </row>
    <row r="287" spans="4:4" x14ac:dyDescent="0.25">
      <c r="D287" s="3"/>
    </row>
    <row r="288" spans="4:4" x14ac:dyDescent="0.25">
      <c r="D288" s="3"/>
    </row>
    <row r="289" spans="4:4" x14ac:dyDescent="0.25">
      <c r="D289" s="3"/>
    </row>
    <row r="290" spans="4:4" x14ac:dyDescent="0.25">
      <c r="D290" s="3"/>
    </row>
    <row r="291" spans="4:4" x14ac:dyDescent="0.25">
      <c r="D291" s="3"/>
    </row>
    <row r="292" spans="4:4" x14ac:dyDescent="0.25">
      <c r="D292" s="3"/>
    </row>
    <row r="293" spans="4:4" x14ac:dyDescent="0.25">
      <c r="D293" s="3"/>
    </row>
    <row r="294" spans="4:4" x14ac:dyDescent="0.25">
      <c r="D294" s="3"/>
    </row>
    <row r="295" spans="4:4" x14ac:dyDescent="0.25">
      <c r="D295" s="3"/>
    </row>
    <row r="296" spans="4:4" x14ac:dyDescent="0.25">
      <c r="D296" s="3"/>
    </row>
    <row r="297" spans="4:4" x14ac:dyDescent="0.25">
      <c r="D297" s="3"/>
    </row>
    <row r="298" spans="4:4" x14ac:dyDescent="0.25">
      <c r="D298" s="3"/>
    </row>
    <row r="299" spans="4:4" x14ac:dyDescent="0.25">
      <c r="D299" s="3"/>
    </row>
    <row r="300" spans="4:4" x14ac:dyDescent="0.25">
      <c r="D300" s="3"/>
    </row>
    <row r="301" spans="4:4" x14ac:dyDescent="0.25">
      <c r="D301" s="3"/>
    </row>
    <row r="302" spans="4:4" x14ac:dyDescent="0.25">
      <c r="D302" s="3"/>
    </row>
    <row r="303" spans="4:4" x14ac:dyDescent="0.25">
      <c r="D303" s="3"/>
    </row>
  </sheetData>
  <mergeCells count="1">
    <mergeCell ref="B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4C2F9-BD2E-40B3-9F73-1609CDBDAAEC}">
  <dimension ref="A1:Q302"/>
  <sheetViews>
    <sheetView zoomScale="97" zoomScaleNormal="100" workbookViewId="0">
      <selection sqref="A1:XFD1"/>
    </sheetView>
  </sheetViews>
  <sheetFormatPr defaultRowHeight="15" x14ac:dyDescent="0.25"/>
  <cols>
    <col min="12" max="12" width="15.42578125" customWidth="1"/>
    <col min="13" max="13" width="12.7109375" customWidth="1"/>
    <col min="14" max="14" width="11.140625" customWidth="1"/>
    <col min="15" max="15" width="19.140625" customWidth="1"/>
    <col min="16" max="16" width="12.5703125" customWidth="1"/>
    <col min="17" max="17" width="6.28515625" customWidth="1"/>
    <col min="18" max="18" width="10.28515625" customWidth="1"/>
  </cols>
  <sheetData>
    <row r="1" spans="1:17" s="25" customFormat="1" ht="51" x14ac:dyDescent="0.8">
      <c r="A1" s="24" t="s">
        <v>81</v>
      </c>
    </row>
    <row r="2" spans="1:17" x14ac:dyDescent="0.25">
      <c r="M2" s="1" t="s">
        <v>0</v>
      </c>
      <c r="N2" s="1" t="s">
        <v>1</v>
      </c>
      <c r="O2" s="1" t="s">
        <v>2</v>
      </c>
      <c r="P2" s="4" t="s">
        <v>3</v>
      </c>
      <c r="Q2" s="2" t="s">
        <v>4</v>
      </c>
    </row>
    <row r="3" spans="1:17" x14ac:dyDescent="0.25">
      <c r="M3" t="s">
        <v>5</v>
      </c>
      <c r="N3" t="s">
        <v>6</v>
      </c>
      <c r="O3" t="s">
        <v>7</v>
      </c>
      <c r="P3" s="5">
        <v>1624</v>
      </c>
      <c r="Q3" s="3">
        <v>114</v>
      </c>
    </row>
    <row r="4" spans="1:17" x14ac:dyDescent="0.25">
      <c r="M4" t="s">
        <v>8</v>
      </c>
      <c r="N4" t="s">
        <v>9</v>
      </c>
      <c r="O4" t="s">
        <v>10</v>
      </c>
      <c r="P4" s="5">
        <v>6706</v>
      </c>
      <c r="Q4" s="3">
        <v>459</v>
      </c>
    </row>
    <row r="5" spans="1:17" x14ac:dyDescent="0.25">
      <c r="M5" t="s">
        <v>11</v>
      </c>
      <c r="N5" t="s">
        <v>9</v>
      </c>
      <c r="O5" t="s">
        <v>12</v>
      </c>
      <c r="P5" s="5">
        <v>959</v>
      </c>
      <c r="Q5" s="3">
        <v>147</v>
      </c>
    </row>
    <row r="6" spans="1:17" x14ac:dyDescent="0.25">
      <c r="M6" t="s">
        <v>13</v>
      </c>
      <c r="N6" t="s">
        <v>14</v>
      </c>
      <c r="O6" t="s">
        <v>15</v>
      </c>
      <c r="P6" s="5">
        <v>9632</v>
      </c>
      <c r="Q6" s="3">
        <v>288</v>
      </c>
    </row>
    <row r="7" spans="1:17" x14ac:dyDescent="0.25">
      <c r="M7" t="s">
        <v>16</v>
      </c>
      <c r="N7" t="s">
        <v>17</v>
      </c>
      <c r="O7" t="s">
        <v>18</v>
      </c>
      <c r="P7" s="5">
        <v>2100</v>
      </c>
      <c r="Q7" s="3">
        <v>414</v>
      </c>
    </row>
    <row r="8" spans="1:17" x14ac:dyDescent="0.25">
      <c r="M8" t="s">
        <v>5</v>
      </c>
      <c r="N8" t="s">
        <v>9</v>
      </c>
      <c r="O8" t="s">
        <v>19</v>
      </c>
      <c r="P8" s="5">
        <v>8869</v>
      </c>
      <c r="Q8" s="3">
        <v>432</v>
      </c>
    </row>
    <row r="9" spans="1:17" x14ac:dyDescent="0.25">
      <c r="M9" t="s">
        <v>16</v>
      </c>
      <c r="N9" t="s">
        <v>20</v>
      </c>
      <c r="O9" t="s">
        <v>21</v>
      </c>
      <c r="P9" s="5">
        <v>2681</v>
      </c>
      <c r="Q9" s="3">
        <v>54</v>
      </c>
    </row>
    <row r="10" spans="1:17" x14ac:dyDescent="0.25">
      <c r="M10" t="s">
        <v>8</v>
      </c>
      <c r="N10" t="s">
        <v>9</v>
      </c>
      <c r="O10" t="s">
        <v>22</v>
      </c>
      <c r="P10" s="5">
        <v>5012</v>
      </c>
      <c r="Q10" s="3">
        <v>210</v>
      </c>
    </row>
    <row r="11" spans="1:17" x14ac:dyDescent="0.25">
      <c r="M11" t="s">
        <v>23</v>
      </c>
      <c r="N11" t="s">
        <v>20</v>
      </c>
      <c r="O11" t="s">
        <v>24</v>
      </c>
      <c r="P11" s="5">
        <v>1281</v>
      </c>
      <c r="Q11" s="3">
        <v>75</v>
      </c>
    </row>
    <row r="12" spans="1:17" x14ac:dyDescent="0.25">
      <c r="M12" t="s">
        <v>25</v>
      </c>
      <c r="N12" t="s">
        <v>6</v>
      </c>
      <c r="O12" t="s">
        <v>24</v>
      </c>
      <c r="P12" s="5">
        <v>4991</v>
      </c>
      <c r="Q12" s="3">
        <v>12</v>
      </c>
    </row>
    <row r="13" spans="1:17" x14ac:dyDescent="0.25">
      <c r="M13" t="s">
        <v>26</v>
      </c>
      <c r="N13" t="s">
        <v>17</v>
      </c>
      <c r="O13" t="s">
        <v>18</v>
      </c>
      <c r="P13" s="5">
        <v>1785</v>
      </c>
      <c r="Q13" s="3">
        <v>462</v>
      </c>
    </row>
    <row r="14" spans="1:17" x14ac:dyDescent="0.25">
      <c r="M14" t="s">
        <v>27</v>
      </c>
      <c r="N14" t="s">
        <v>6</v>
      </c>
      <c r="O14" t="s">
        <v>28</v>
      </c>
      <c r="P14" s="5">
        <v>3983</v>
      </c>
      <c r="Q14" s="3">
        <v>144</v>
      </c>
    </row>
    <row r="15" spans="1:17" x14ac:dyDescent="0.25">
      <c r="M15" t="s">
        <v>11</v>
      </c>
      <c r="N15" t="s">
        <v>20</v>
      </c>
      <c r="O15" t="s">
        <v>29</v>
      </c>
      <c r="P15" s="5">
        <v>2646</v>
      </c>
      <c r="Q15" s="3">
        <v>120</v>
      </c>
    </row>
    <row r="16" spans="1:17" x14ac:dyDescent="0.25">
      <c r="M16" t="s">
        <v>26</v>
      </c>
      <c r="N16" t="s">
        <v>30</v>
      </c>
      <c r="O16" t="s">
        <v>31</v>
      </c>
      <c r="P16" s="5">
        <v>252</v>
      </c>
      <c r="Q16" s="3">
        <v>54</v>
      </c>
    </row>
    <row r="17" spans="13:17" x14ac:dyDescent="0.25">
      <c r="M17" t="s">
        <v>27</v>
      </c>
      <c r="N17" t="s">
        <v>9</v>
      </c>
      <c r="O17" t="s">
        <v>18</v>
      </c>
      <c r="P17" s="5">
        <v>2464</v>
      </c>
      <c r="Q17" s="3">
        <v>234</v>
      </c>
    </row>
    <row r="18" spans="13:17" x14ac:dyDescent="0.25">
      <c r="M18" t="s">
        <v>27</v>
      </c>
      <c r="N18" t="s">
        <v>9</v>
      </c>
      <c r="O18" t="s">
        <v>32</v>
      </c>
      <c r="P18" s="5">
        <v>2114</v>
      </c>
      <c r="Q18" s="3">
        <v>66</v>
      </c>
    </row>
    <row r="19" spans="13:17" x14ac:dyDescent="0.25">
      <c r="M19" t="s">
        <v>16</v>
      </c>
      <c r="N19" t="s">
        <v>6</v>
      </c>
      <c r="O19" t="s">
        <v>21</v>
      </c>
      <c r="P19" s="5">
        <v>7693</v>
      </c>
      <c r="Q19" s="3">
        <v>87</v>
      </c>
    </row>
    <row r="20" spans="13:17" x14ac:dyDescent="0.25">
      <c r="M20" t="s">
        <v>25</v>
      </c>
      <c r="N20" t="s">
        <v>30</v>
      </c>
      <c r="O20" t="s">
        <v>33</v>
      </c>
      <c r="P20" s="5">
        <v>15610</v>
      </c>
      <c r="Q20" s="3">
        <v>339</v>
      </c>
    </row>
    <row r="21" spans="13:17" x14ac:dyDescent="0.25">
      <c r="M21" t="s">
        <v>13</v>
      </c>
      <c r="N21" t="s">
        <v>30</v>
      </c>
      <c r="O21" t="s">
        <v>22</v>
      </c>
      <c r="P21" s="5">
        <v>336</v>
      </c>
      <c r="Q21" s="3">
        <v>144</v>
      </c>
    </row>
    <row r="22" spans="13:17" x14ac:dyDescent="0.25">
      <c r="M22" t="s">
        <v>26</v>
      </c>
      <c r="N22" t="s">
        <v>17</v>
      </c>
      <c r="O22" t="s">
        <v>33</v>
      </c>
      <c r="P22" s="5">
        <v>9443</v>
      </c>
      <c r="Q22" s="3">
        <v>162</v>
      </c>
    </row>
    <row r="23" spans="13:17" x14ac:dyDescent="0.25">
      <c r="M23" t="s">
        <v>11</v>
      </c>
      <c r="N23" t="s">
        <v>30</v>
      </c>
      <c r="O23" t="s">
        <v>34</v>
      </c>
      <c r="P23" s="5">
        <v>8155</v>
      </c>
      <c r="Q23" s="3">
        <v>90</v>
      </c>
    </row>
    <row r="24" spans="13:17" x14ac:dyDescent="0.25">
      <c r="M24" t="s">
        <v>8</v>
      </c>
      <c r="N24" t="s">
        <v>20</v>
      </c>
      <c r="O24" t="s">
        <v>34</v>
      </c>
      <c r="P24" s="5">
        <v>1701</v>
      </c>
      <c r="Q24" s="3">
        <v>234</v>
      </c>
    </row>
    <row r="25" spans="13:17" x14ac:dyDescent="0.25">
      <c r="M25" t="s">
        <v>35</v>
      </c>
      <c r="N25" t="s">
        <v>20</v>
      </c>
      <c r="O25" t="s">
        <v>22</v>
      </c>
      <c r="P25" s="5">
        <v>2205</v>
      </c>
      <c r="Q25" s="3">
        <v>141</v>
      </c>
    </row>
    <row r="26" spans="13:17" x14ac:dyDescent="0.25">
      <c r="M26" t="s">
        <v>8</v>
      </c>
      <c r="N26" t="s">
        <v>6</v>
      </c>
      <c r="O26" t="s">
        <v>36</v>
      </c>
      <c r="P26" s="5">
        <v>1771</v>
      </c>
      <c r="Q26" s="3">
        <v>204</v>
      </c>
    </row>
    <row r="27" spans="13:17" x14ac:dyDescent="0.25">
      <c r="M27" t="s">
        <v>13</v>
      </c>
      <c r="N27" t="s">
        <v>9</v>
      </c>
      <c r="O27" t="s">
        <v>37</v>
      </c>
      <c r="P27" s="5">
        <v>2114</v>
      </c>
      <c r="Q27" s="3">
        <v>186</v>
      </c>
    </row>
    <row r="28" spans="13:17" x14ac:dyDescent="0.25">
      <c r="M28" t="s">
        <v>13</v>
      </c>
      <c r="N28" t="s">
        <v>14</v>
      </c>
      <c r="O28" t="s">
        <v>31</v>
      </c>
      <c r="P28" s="5">
        <v>10311</v>
      </c>
      <c r="Q28" s="3">
        <v>231</v>
      </c>
    </row>
    <row r="29" spans="13:17" x14ac:dyDescent="0.25">
      <c r="M29" t="s">
        <v>27</v>
      </c>
      <c r="N29" t="s">
        <v>17</v>
      </c>
      <c r="O29" t="s">
        <v>29</v>
      </c>
      <c r="P29" s="5">
        <v>21</v>
      </c>
      <c r="Q29" s="3">
        <v>168</v>
      </c>
    </row>
    <row r="30" spans="13:17" x14ac:dyDescent="0.25">
      <c r="M30" t="s">
        <v>35</v>
      </c>
      <c r="N30" t="s">
        <v>9</v>
      </c>
      <c r="O30" t="s">
        <v>33</v>
      </c>
      <c r="P30" s="5">
        <v>1974</v>
      </c>
      <c r="Q30" s="3">
        <v>195</v>
      </c>
    </row>
    <row r="31" spans="13:17" x14ac:dyDescent="0.25">
      <c r="M31" t="s">
        <v>25</v>
      </c>
      <c r="N31" t="s">
        <v>14</v>
      </c>
      <c r="O31" t="s">
        <v>34</v>
      </c>
      <c r="P31" s="5">
        <v>6314</v>
      </c>
      <c r="Q31" s="3">
        <v>15</v>
      </c>
    </row>
    <row r="32" spans="13:17" x14ac:dyDescent="0.25">
      <c r="M32" t="s">
        <v>35</v>
      </c>
      <c r="N32" t="s">
        <v>6</v>
      </c>
      <c r="O32" t="s">
        <v>34</v>
      </c>
      <c r="P32" s="5">
        <v>4683</v>
      </c>
      <c r="Q32" s="3">
        <v>30</v>
      </c>
    </row>
    <row r="33" spans="13:17" x14ac:dyDescent="0.25">
      <c r="M33" t="s">
        <v>13</v>
      </c>
      <c r="N33" t="s">
        <v>6</v>
      </c>
      <c r="O33" t="s">
        <v>38</v>
      </c>
      <c r="P33" s="5">
        <v>6398</v>
      </c>
      <c r="Q33" s="3">
        <v>102</v>
      </c>
    </row>
    <row r="34" spans="13:17" x14ac:dyDescent="0.25">
      <c r="M34" t="s">
        <v>26</v>
      </c>
      <c r="N34" t="s">
        <v>9</v>
      </c>
      <c r="O34" t="s">
        <v>36</v>
      </c>
      <c r="P34" s="5">
        <v>553</v>
      </c>
      <c r="Q34" s="3">
        <v>15</v>
      </c>
    </row>
    <row r="35" spans="13:17" x14ac:dyDescent="0.25">
      <c r="M35" t="s">
        <v>8</v>
      </c>
      <c r="N35" t="s">
        <v>17</v>
      </c>
      <c r="O35" t="s">
        <v>7</v>
      </c>
      <c r="P35" s="5">
        <v>7021</v>
      </c>
      <c r="Q35" s="3">
        <v>183</v>
      </c>
    </row>
    <row r="36" spans="13:17" x14ac:dyDescent="0.25">
      <c r="M36" t="s">
        <v>5</v>
      </c>
      <c r="N36" t="s">
        <v>17</v>
      </c>
      <c r="O36" t="s">
        <v>22</v>
      </c>
      <c r="P36" s="5">
        <v>5817</v>
      </c>
      <c r="Q36" s="3">
        <v>12</v>
      </c>
    </row>
    <row r="37" spans="13:17" x14ac:dyDescent="0.25">
      <c r="M37" t="s">
        <v>13</v>
      </c>
      <c r="N37" t="s">
        <v>17</v>
      </c>
      <c r="O37" t="s">
        <v>24</v>
      </c>
      <c r="P37" s="5">
        <v>3976</v>
      </c>
      <c r="Q37" s="3">
        <v>72</v>
      </c>
    </row>
    <row r="38" spans="13:17" x14ac:dyDescent="0.25">
      <c r="M38" t="s">
        <v>16</v>
      </c>
      <c r="N38" t="s">
        <v>20</v>
      </c>
      <c r="O38" t="s">
        <v>39</v>
      </c>
      <c r="P38" s="5">
        <v>1134</v>
      </c>
      <c r="Q38" s="3">
        <v>282</v>
      </c>
    </row>
    <row r="39" spans="13:17" x14ac:dyDescent="0.25">
      <c r="M39" t="s">
        <v>26</v>
      </c>
      <c r="N39" t="s">
        <v>17</v>
      </c>
      <c r="O39" t="s">
        <v>40</v>
      </c>
      <c r="P39" s="5">
        <v>6027</v>
      </c>
      <c r="Q39" s="3">
        <v>144</v>
      </c>
    </row>
    <row r="40" spans="13:17" x14ac:dyDescent="0.25">
      <c r="M40" t="s">
        <v>16</v>
      </c>
      <c r="N40" t="s">
        <v>6</v>
      </c>
      <c r="O40" t="s">
        <v>29</v>
      </c>
      <c r="P40" s="5">
        <v>1904</v>
      </c>
      <c r="Q40" s="3">
        <v>405</v>
      </c>
    </row>
    <row r="41" spans="13:17" x14ac:dyDescent="0.25">
      <c r="M41" t="s">
        <v>23</v>
      </c>
      <c r="N41" t="s">
        <v>30</v>
      </c>
      <c r="O41" t="s">
        <v>10</v>
      </c>
      <c r="P41" s="5">
        <v>3262</v>
      </c>
      <c r="Q41" s="3">
        <v>75</v>
      </c>
    </row>
    <row r="42" spans="13:17" x14ac:dyDescent="0.25">
      <c r="M42" t="s">
        <v>5</v>
      </c>
      <c r="N42" t="s">
        <v>30</v>
      </c>
      <c r="O42" t="s">
        <v>39</v>
      </c>
      <c r="P42" s="5">
        <v>2289</v>
      </c>
      <c r="Q42" s="3">
        <v>135</v>
      </c>
    </row>
    <row r="43" spans="13:17" x14ac:dyDescent="0.25">
      <c r="M43" t="s">
        <v>25</v>
      </c>
      <c r="N43" t="s">
        <v>30</v>
      </c>
      <c r="O43" t="s">
        <v>39</v>
      </c>
      <c r="P43" s="5">
        <v>6986</v>
      </c>
      <c r="Q43" s="3">
        <v>21</v>
      </c>
    </row>
    <row r="44" spans="13:17" x14ac:dyDescent="0.25">
      <c r="M44" t="s">
        <v>26</v>
      </c>
      <c r="N44" t="s">
        <v>20</v>
      </c>
      <c r="O44" t="s">
        <v>34</v>
      </c>
      <c r="P44" s="5">
        <v>4417</v>
      </c>
      <c r="Q44" s="3">
        <v>153</v>
      </c>
    </row>
    <row r="45" spans="13:17" x14ac:dyDescent="0.25">
      <c r="M45" t="s">
        <v>16</v>
      </c>
      <c r="N45" t="s">
        <v>30</v>
      </c>
      <c r="O45" t="s">
        <v>37</v>
      </c>
      <c r="P45" s="5">
        <v>1442</v>
      </c>
      <c r="Q45" s="3">
        <v>15</v>
      </c>
    </row>
    <row r="46" spans="13:17" x14ac:dyDescent="0.25">
      <c r="M46" t="s">
        <v>27</v>
      </c>
      <c r="N46" t="s">
        <v>9</v>
      </c>
      <c r="O46" t="s">
        <v>24</v>
      </c>
      <c r="P46" s="5">
        <v>2415</v>
      </c>
      <c r="Q46" s="3">
        <v>255</v>
      </c>
    </row>
    <row r="47" spans="13:17" x14ac:dyDescent="0.25">
      <c r="M47" t="s">
        <v>26</v>
      </c>
      <c r="N47" t="s">
        <v>6</v>
      </c>
      <c r="O47" t="s">
        <v>36</v>
      </c>
      <c r="P47" s="5">
        <v>238</v>
      </c>
      <c r="Q47" s="3">
        <v>18</v>
      </c>
    </row>
    <row r="48" spans="13:17" x14ac:dyDescent="0.25">
      <c r="M48" t="s">
        <v>16</v>
      </c>
      <c r="N48" t="s">
        <v>6</v>
      </c>
      <c r="O48" t="s">
        <v>34</v>
      </c>
      <c r="P48" s="5">
        <v>4949</v>
      </c>
      <c r="Q48" s="3">
        <v>189</v>
      </c>
    </row>
    <row r="49" spans="13:17" x14ac:dyDescent="0.25">
      <c r="M49" t="s">
        <v>25</v>
      </c>
      <c r="N49" t="s">
        <v>20</v>
      </c>
      <c r="O49" t="s">
        <v>10</v>
      </c>
      <c r="P49" s="5">
        <v>5075</v>
      </c>
      <c r="Q49" s="3">
        <v>21</v>
      </c>
    </row>
    <row r="50" spans="13:17" x14ac:dyDescent="0.25">
      <c r="M50" t="s">
        <v>27</v>
      </c>
      <c r="N50" t="s">
        <v>14</v>
      </c>
      <c r="O50" t="s">
        <v>29</v>
      </c>
      <c r="P50" s="5">
        <v>9198</v>
      </c>
      <c r="Q50" s="3">
        <v>36</v>
      </c>
    </row>
    <row r="51" spans="13:17" x14ac:dyDescent="0.25">
      <c r="M51" t="s">
        <v>16</v>
      </c>
      <c r="N51" t="s">
        <v>30</v>
      </c>
      <c r="O51" t="s">
        <v>32</v>
      </c>
      <c r="P51" s="5">
        <v>3339</v>
      </c>
      <c r="Q51" s="3">
        <v>75</v>
      </c>
    </row>
    <row r="52" spans="13:17" x14ac:dyDescent="0.25">
      <c r="M52" t="s">
        <v>5</v>
      </c>
      <c r="N52" t="s">
        <v>30</v>
      </c>
      <c r="O52" t="s">
        <v>28</v>
      </c>
      <c r="P52" s="5">
        <v>5019</v>
      </c>
      <c r="Q52" s="3">
        <v>156</v>
      </c>
    </row>
    <row r="53" spans="13:17" x14ac:dyDescent="0.25">
      <c r="M53" t="s">
        <v>25</v>
      </c>
      <c r="N53" t="s">
        <v>14</v>
      </c>
      <c r="O53" t="s">
        <v>29</v>
      </c>
      <c r="P53" s="5">
        <v>16184</v>
      </c>
      <c r="Q53" s="3">
        <v>39</v>
      </c>
    </row>
    <row r="54" spans="13:17" x14ac:dyDescent="0.25">
      <c r="M54" t="s">
        <v>16</v>
      </c>
      <c r="N54" t="s">
        <v>14</v>
      </c>
      <c r="O54" t="s">
        <v>41</v>
      </c>
      <c r="P54" s="5">
        <v>497</v>
      </c>
      <c r="Q54" s="3">
        <v>63</v>
      </c>
    </row>
    <row r="55" spans="13:17" x14ac:dyDescent="0.25">
      <c r="M55" t="s">
        <v>26</v>
      </c>
      <c r="N55" t="s">
        <v>14</v>
      </c>
      <c r="O55" t="s">
        <v>32</v>
      </c>
      <c r="P55" s="5">
        <v>8211</v>
      </c>
      <c r="Q55" s="3">
        <v>75</v>
      </c>
    </row>
    <row r="56" spans="13:17" x14ac:dyDescent="0.25">
      <c r="M56" t="s">
        <v>26</v>
      </c>
      <c r="N56" t="s">
        <v>20</v>
      </c>
      <c r="O56" t="s">
        <v>40</v>
      </c>
      <c r="P56" s="5">
        <v>6580</v>
      </c>
      <c r="Q56" s="3">
        <v>183</v>
      </c>
    </row>
    <row r="57" spans="13:17" x14ac:dyDescent="0.25">
      <c r="M57" t="s">
        <v>13</v>
      </c>
      <c r="N57" t="s">
        <v>9</v>
      </c>
      <c r="O57" t="s">
        <v>31</v>
      </c>
      <c r="P57" s="5">
        <v>4760</v>
      </c>
      <c r="Q57" s="3">
        <v>69</v>
      </c>
    </row>
    <row r="58" spans="13:17" x14ac:dyDescent="0.25">
      <c r="M58" t="s">
        <v>5</v>
      </c>
      <c r="N58" t="s">
        <v>14</v>
      </c>
      <c r="O58" t="s">
        <v>18</v>
      </c>
      <c r="P58" s="5">
        <v>5439</v>
      </c>
      <c r="Q58" s="3">
        <v>30</v>
      </c>
    </row>
    <row r="59" spans="13:17" x14ac:dyDescent="0.25">
      <c r="M59" t="s">
        <v>13</v>
      </c>
      <c r="N59" t="s">
        <v>30</v>
      </c>
      <c r="O59" t="s">
        <v>28</v>
      </c>
      <c r="P59" s="5">
        <v>1463</v>
      </c>
      <c r="Q59" s="3">
        <v>39</v>
      </c>
    </row>
    <row r="60" spans="13:17" x14ac:dyDescent="0.25">
      <c r="M60" t="s">
        <v>27</v>
      </c>
      <c r="N60" t="s">
        <v>30</v>
      </c>
      <c r="O60" t="s">
        <v>10</v>
      </c>
      <c r="P60" s="5">
        <v>7777</v>
      </c>
      <c r="Q60" s="3">
        <v>504</v>
      </c>
    </row>
    <row r="61" spans="13:17" x14ac:dyDescent="0.25">
      <c r="M61" t="s">
        <v>11</v>
      </c>
      <c r="N61" t="s">
        <v>6</v>
      </c>
      <c r="O61" t="s">
        <v>32</v>
      </c>
      <c r="P61" s="5">
        <v>1085</v>
      </c>
      <c r="Q61" s="3">
        <v>273</v>
      </c>
    </row>
    <row r="62" spans="13:17" x14ac:dyDescent="0.25">
      <c r="M62" t="s">
        <v>25</v>
      </c>
      <c r="N62" t="s">
        <v>6</v>
      </c>
      <c r="O62" t="s">
        <v>21</v>
      </c>
      <c r="P62" s="5">
        <v>182</v>
      </c>
      <c r="Q62" s="3">
        <v>48</v>
      </c>
    </row>
    <row r="63" spans="13:17" x14ac:dyDescent="0.25">
      <c r="M63" t="s">
        <v>16</v>
      </c>
      <c r="N63" t="s">
        <v>30</v>
      </c>
      <c r="O63" t="s">
        <v>39</v>
      </c>
      <c r="P63" s="5">
        <v>4242</v>
      </c>
      <c r="Q63" s="3">
        <v>207</v>
      </c>
    </row>
    <row r="64" spans="13:17" x14ac:dyDescent="0.25">
      <c r="M64" t="s">
        <v>16</v>
      </c>
      <c r="N64" t="s">
        <v>14</v>
      </c>
      <c r="O64" t="s">
        <v>10</v>
      </c>
      <c r="P64" s="5">
        <v>6118</v>
      </c>
      <c r="Q64" s="3">
        <v>9</v>
      </c>
    </row>
    <row r="65" spans="13:17" x14ac:dyDescent="0.25">
      <c r="M65" t="s">
        <v>35</v>
      </c>
      <c r="N65" t="s">
        <v>14</v>
      </c>
      <c r="O65" t="s">
        <v>34</v>
      </c>
      <c r="P65" s="5">
        <v>2317</v>
      </c>
      <c r="Q65" s="3">
        <v>261</v>
      </c>
    </row>
    <row r="66" spans="13:17" x14ac:dyDescent="0.25">
      <c r="M66" t="s">
        <v>16</v>
      </c>
      <c r="N66" t="s">
        <v>20</v>
      </c>
      <c r="O66" t="s">
        <v>29</v>
      </c>
      <c r="P66" s="5">
        <v>938</v>
      </c>
      <c r="Q66" s="3">
        <v>6</v>
      </c>
    </row>
    <row r="67" spans="13:17" x14ac:dyDescent="0.25">
      <c r="M67" t="s">
        <v>8</v>
      </c>
      <c r="N67" t="s">
        <v>6</v>
      </c>
      <c r="O67" t="s">
        <v>37</v>
      </c>
      <c r="P67" s="5">
        <v>9709</v>
      </c>
      <c r="Q67" s="3">
        <v>30</v>
      </c>
    </row>
    <row r="68" spans="13:17" x14ac:dyDescent="0.25">
      <c r="M68" t="s">
        <v>23</v>
      </c>
      <c r="N68" t="s">
        <v>30</v>
      </c>
      <c r="O68" t="s">
        <v>33</v>
      </c>
      <c r="P68" s="5">
        <v>2205</v>
      </c>
      <c r="Q68" s="3">
        <v>138</v>
      </c>
    </row>
    <row r="69" spans="13:17" x14ac:dyDescent="0.25">
      <c r="M69" t="s">
        <v>23</v>
      </c>
      <c r="N69" t="s">
        <v>6</v>
      </c>
      <c r="O69" t="s">
        <v>28</v>
      </c>
      <c r="P69" s="5">
        <v>4487</v>
      </c>
      <c r="Q69" s="3">
        <v>111</v>
      </c>
    </row>
    <row r="70" spans="13:17" x14ac:dyDescent="0.25">
      <c r="M70" t="s">
        <v>25</v>
      </c>
      <c r="N70" t="s">
        <v>9</v>
      </c>
      <c r="O70" t="s">
        <v>15</v>
      </c>
      <c r="P70" s="5">
        <v>2415</v>
      </c>
      <c r="Q70" s="3">
        <v>15</v>
      </c>
    </row>
    <row r="71" spans="13:17" x14ac:dyDescent="0.25">
      <c r="M71" t="s">
        <v>5</v>
      </c>
      <c r="N71" t="s">
        <v>30</v>
      </c>
      <c r="O71" t="s">
        <v>36</v>
      </c>
      <c r="P71" s="5">
        <v>4018</v>
      </c>
      <c r="Q71" s="3">
        <v>162</v>
      </c>
    </row>
    <row r="72" spans="13:17" x14ac:dyDescent="0.25">
      <c r="M72" t="s">
        <v>25</v>
      </c>
      <c r="N72" t="s">
        <v>30</v>
      </c>
      <c r="O72" t="s">
        <v>36</v>
      </c>
      <c r="P72" s="5">
        <v>861</v>
      </c>
      <c r="Q72" s="3">
        <v>195</v>
      </c>
    </row>
    <row r="73" spans="13:17" x14ac:dyDescent="0.25">
      <c r="M73" t="s">
        <v>35</v>
      </c>
      <c r="N73" t="s">
        <v>20</v>
      </c>
      <c r="O73" t="s">
        <v>24</v>
      </c>
      <c r="P73" s="5">
        <v>5586</v>
      </c>
      <c r="Q73" s="3">
        <v>525</v>
      </c>
    </row>
    <row r="74" spans="13:17" x14ac:dyDescent="0.25">
      <c r="M74" t="s">
        <v>23</v>
      </c>
      <c r="N74" t="s">
        <v>30</v>
      </c>
      <c r="O74" t="s">
        <v>19</v>
      </c>
      <c r="P74" s="5">
        <v>2226</v>
      </c>
      <c r="Q74" s="3">
        <v>48</v>
      </c>
    </row>
    <row r="75" spans="13:17" x14ac:dyDescent="0.25">
      <c r="M75" t="s">
        <v>11</v>
      </c>
      <c r="N75" t="s">
        <v>30</v>
      </c>
      <c r="O75" t="s">
        <v>40</v>
      </c>
      <c r="P75" s="5">
        <v>14329</v>
      </c>
      <c r="Q75" s="3">
        <v>150</v>
      </c>
    </row>
    <row r="76" spans="13:17" x14ac:dyDescent="0.25">
      <c r="M76" t="s">
        <v>11</v>
      </c>
      <c r="N76" t="s">
        <v>30</v>
      </c>
      <c r="O76" t="s">
        <v>33</v>
      </c>
      <c r="P76" s="5">
        <v>8463</v>
      </c>
      <c r="Q76" s="3">
        <v>492</v>
      </c>
    </row>
    <row r="77" spans="13:17" x14ac:dyDescent="0.25">
      <c r="M77" t="s">
        <v>25</v>
      </c>
      <c r="N77" t="s">
        <v>30</v>
      </c>
      <c r="O77" t="s">
        <v>32</v>
      </c>
      <c r="P77" s="5">
        <v>2891</v>
      </c>
      <c r="Q77" s="3">
        <v>102</v>
      </c>
    </row>
    <row r="78" spans="13:17" x14ac:dyDescent="0.25">
      <c r="M78" t="s">
        <v>27</v>
      </c>
      <c r="N78" t="s">
        <v>14</v>
      </c>
      <c r="O78" t="s">
        <v>34</v>
      </c>
      <c r="P78" s="5">
        <v>3773</v>
      </c>
      <c r="Q78" s="3">
        <v>165</v>
      </c>
    </row>
    <row r="79" spans="13:17" x14ac:dyDescent="0.25">
      <c r="M79" t="s">
        <v>13</v>
      </c>
      <c r="N79" t="s">
        <v>14</v>
      </c>
      <c r="O79" t="s">
        <v>40</v>
      </c>
      <c r="P79" s="5">
        <v>854</v>
      </c>
      <c r="Q79" s="3">
        <v>309</v>
      </c>
    </row>
    <row r="80" spans="13:17" x14ac:dyDescent="0.25">
      <c r="M80" t="s">
        <v>16</v>
      </c>
      <c r="N80" t="s">
        <v>14</v>
      </c>
      <c r="O80" t="s">
        <v>28</v>
      </c>
      <c r="P80" s="5">
        <v>4970</v>
      </c>
      <c r="Q80" s="3">
        <v>156</v>
      </c>
    </row>
    <row r="81" spans="13:17" x14ac:dyDescent="0.25">
      <c r="M81" t="s">
        <v>11</v>
      </c>
      <c r="N81" t="s">
        <v>9</v>
      </c>
      <c r="O81" t="s">
        <v>42</v>
      </c>
      <c r="P81" s="5">
        <v>98</v>
      </c>
      <c r="Q81" s="3">
        <v>159</v>
      </c>
    </row>
    <row r="82" spans="13:17" x14ac:dyDescent="0.25">
      <c r="M82" t="s">
        <v>25</v>
      </c>
      <c r="N82" t="s">
        <v>9</v>
      </c>
      <c r="O82" t="s">
        <v>37</v>
      </c>
      <c r="P82" s="5">
        <v>13391</v>
      </c>
      <c r="Q82" s="3">
        <v>201</v>
      </c>
    </row>
    <row r="83" spans="13:17" x14ac:dyDescent="0.25">
      <c r="M83" t="s">
        <v>8</v>
      </c>
      <c r="N83" t="s">
        <v>17</v>
      </c>
      <c r="O83" t="s">
        <v>21</v>
      </c>
      <c r="P83" s="5">
        <v>8890</v>
      </c>
      <c r="Q83" s="3">
        <v>210</v>
      </c>
    </row>
    <row r="84" spans="13:17" x14ac:dyDescent="0.25">
      <c r="M84" t="s">
        <v>26</v>
      </c>
      <c r="N84" t="s">
        <v>20</v>
      </c>
      <c r="O84" t="s">
        <v>31</v>
      </c>
      <c r="P84" s="5">
        <v>56</v>
      </c>
      <c r="Q84" s="3">
        <v>51</v>
      </c>
    </row>
    <row r="85" spans="13:17" x14ac:dyDescent="0.25">
      <c r="M85" t="s">
        <v>27</v>
      </c>
      <c r="N85" t="s">
        <v>14</v>
      </c>
      <c r="O85" t="s">
        <v>18</v>
      </c>
      <c r="P85" s="5">
        <v>3339</v>
      </c>
      <c r="Q85" s="3">
        <v>39</v>
      </c>
    </row>
    <row r="86" spans="13:17" x14ac:dyDescent="0.25">
      <c r="M86" t="s">
        <v>35</v>
      </c>
      <c r="N86" t="s">
        <v>9</v>
      </c>
      <c r="O86" t="s">
        <v>15</v>
      </c>
      <c r="P86" s="5">
        <v>3808</v>
      </c>
      <c r="Q86" s="3">
        <v>279</v>
      </c>
    </row>
    <row r="87" spans="13:17" x14ac:dyDescent="0.25">
      <c r="M87" t="s">
        <v>35</v>
      </c>
      <c r="N87" t="s">
        <v>20</v>
      </c>
      <c r="O87" t="s">
        <v>31</v>
      </c>
      <c r="P87" s="5">
        <v>63</v>
      </c>
      <c r="Q87" s="3">
        <v>123</v>
      </c>
    </row>
    <row r="88" spans="13:17" x14ac:dyDescent="0.25">
      <c r="M88" t="s">
        <v>26</v>
      </c>
      <c r="N88" t="s">
        <v>17</v>
      </c>
      <c r="O88" t="s">
        <v>39</v>
      </c>
      <c r="P88" s="5">
        <v>7812</v>
      </c>
      <c r="Q88" s="3">
        <v>81</v>
      </c>
    </row>
    <row r="89" spans="13:17" x14ac:dyDescent="0.25">
      <c r="M89" t="s">
        <v>5</v>
      </c>
      <c r="N89" t="s">
        <v>6</v>
      </c>
      <c r="O89" t="s">
        <v>36</v>
      </c>
      <c r="P89" s="5">
        <v>7693</v>
      </c>
      <c r="Q89" s="3">
        <v>21</v>
      </c>
    </row>
    <row r="90" spans="13:17" x14ac:dyDescent="0.25">
      <c r="M90" t="s">
        <v>27</v>
      </c>
      <c r="N90" t="s">
        <v>14</v>
      </c>
      <c r="O90" t="s">
        <v>40</v>
      </c>
      <c r="P90" s="5">
        <v>973</v>
      </c>
      <c r="Q90" s="3">
        <v>162</v>
      </c>
    </row>
    <row r="91" spans="13:17" x14ac:dyDescent="0.25">
      <c r="M91" t="s">
        <v>35</v>
      </c>
      <c r="N91" t="s">
        <v>9</v>
      </c>
      <c r="O91" t="s">
        <v>41</v>
      </c>
      <c r="P91" s="5">
        <v>567</v>
      </c>
      <c r="Q91" s="3">
        <v>228</v>
      </c>
    </row>
    <row r="92" spans="13:17" x14ac:dyDescent="0.25">
      <c r="M92" t="s">
        <v>35</v>
      </c>
      <c r="N92" t="s">
        <v>14</v>
      </c>
      <c r="O92" t="s">
        <v>32</v>
      </c>
      <c r="P92" s="5">
        <v>2471</v>
      </c>
      <c r="Q92" s="3">
        <v>342</v>
      </c>
    </row>
    <row r="93" spans="13:17" x14ac:dyDescent="0.25">
      <c r="M93" t="s">
        <v>25</v>
      </c>
      <c r="N93" t="s">
        <v>20</v>
      </c>
      <c r="O93" t="s">
        <v>31</v>
      </c>
      <c r="P93" s="5">
        <v>7189</v>
      </c>
      <c r="Q93" s="3">
        <v>54</v>
      </c>
    </row>
    <row r="94" spans="13:17" x14ac:dyDescent="0.25">
      <c r="M94" t="s">
        <v>13</v>
      </c>
      <c r="N94" t="s">
        <v>9</v>
      </c>
      <c r="O94" t="s">
        <v>40</v>
      </c>
      <c r="P94" s="5">
        <v>7455</v>
      </c>
      <c r="Q94" s="3">
        <v>216</v>
      </c>
    </row>
    <row r="95" spans="13:17" x14ac:dyDescent="0.25">
      <c r="M95" t="s">
        <v>27</v>
      </c>
      <c r="N95" t="s">
        <v>30</v>
      </c>
      <c r="O95" t="s">
        <v>42</v>
      </c>
      <c r="P95" s="5">
        <v>3108</v>
      </c>
      <c r="Q95" s="3">
        <v>54</v>
      </c>
    </row>
    <row r="96" spans="13:17" x14ac:dyDescent="0.25">
      <c r="M96" t="s">
        <v>16</v>
      </c>
      <c r="N96" t="s">
        <v>20</v>
      </c>
      <c r="O96" t="s">
        <v>18</v>
      </c>
      <c r="P96" s="5">
        <v>469</v>
      </c>
      <c r="Q96" s="3">
        <v>75</v>
      </c>
    </row>
    <row r="97" spans="13:17" x14ac:dyDescent="0.25">
      <c r="M97" t="s">
        <v>11</v>
      </c>
      <c r="N97" t="s">
        <v>6</v>
      </c>
      <c r="O97" t="s">
        <v>34</v>
      </c>
      <c r="P97" s="5">
        <v>2737</v>
      </c>
      <c r="Q97" s="3">
        <v>93</v>
      </c>
    </row>
    <row r="98" spans="13:17" x14ac:dyDescent="0.25">
      <c r="M98" t="s">
        <v>11</v>
      </c>
      <c r="N98" t="s">
        <v>6</v>
      </c>
      <c r="O98" t="s">
        <v>18</v>
      </c>
      <c r="P98" s="5">
        <v>4305</v>
      </c>
      <c r="Q98" s="3">
        <v>156</v>
      </c>
    </row>
    <row r="99" spans="13:17" x14ac:dyDescent="0.25">
      <c r="M99" t="s">
        <v>11</v>
      </c>
      <c r="N99" t="s">
        <v>20</v>
      </c>
      <c r="O99" t="s">
        <v>28</v>
      </c>
      <c r="P99" s="5">
        <v>2408</v>
      </c>
      <c r="Q99" s="3">
        <v>9</v>
      </c>
    </row>
    <row r="100" spans="13:17" x14ac:dyDescent="0.25">
      <c r="M100" t="s">
        <v>27</v>
      </c>
      <c r="N100" t="s">
        <v>14</v>
      </c>
      <c r="O100" t="s">
        <v>36</v>
      </c>
      <c r="P100" s="5">
        <v>1281</v>
      </c>
      <c r="Q100" s="3">
        <v>18</v>
      </c>
    </row>
    <row r="101" spans="13:17" x14ac:dyDescent="0.25">
      <c r="M101" t="s">
        <v>5</v>
      </c>
      <c r="N101" t="s">
        <v>9</v>
      </c>
      <c r="O101" t="s">
        <v>10</v>
      </c>
      <c r="P101" s="5">
        <v>12348</v>
      </c>
      <c r="Q101" s="3">
        <v>234</v>
      </c>
    </row>
    <row r="102" spans="13:17" x14ac:dyDescent="0.25">
      <c r="M102" t="s">
        <v>27</v>
      </c>
      <c r="N102" t="s">
        <v>30</v>
      </c>
      <c r="O102" t="s">
        <v>40</v>
      </c>
      <c r="P102" s="5">
        <v>3689</v>
      </c>
      <c r="Q102" s="3">
        <v>312</v>
      </c>
    </row>
    <row r="103" spans="13:17" x14ac:dyDescent="0.25">
      <c r="M103" t="s">
        <v>23</v>
      </c>
      <c r="N103" t="s">
        <v>14</v>
      </c>
      <c r="O103" t="s">
        <v>36</v>
      </c>
      <c r="P103" s="5">
        <v>2870</v>
      </c>
      <c r="Q103" s="3">
        <v>300</v>
      </c>
    </row>
    <row r="104" spans="13:17" x14ac:dyDescent="0.25">
      <c r="M104" t="s">
        <v>26</v>
      </c>
      <c r="N104" t="s">
        <v>14</v>
      </c>
      <c r="O104" t="s">
        <v>39</v>
      </c>
      <c r="P104" s="5">
        <v>798</v>
      </c>
      <c r="Q104" s="3">
        <v>519</v>
      </c>
    </row>
    <row r="105" spans="13:17" x14ac:dyDescent="0.25">
      <c r="M105" t="s">
        <v>13</v>
      </c>
      <c r="N105" t="s">
        <v>6</v>
      </c>
      <c r="O105" t="s">
        <v>41</v>
      </c>
      <c r="P105" s="5">
        <v>2933</v>
      </c>
      <c r="Q105" s="3">
        <v>9</v>
      </c>
    </row>
    <row r="106" spans="13:17" x14ac:dyDescent="0.25">
      <c r="M106" t="s">
        <v>25</v>
      </c>
      <c r="N106" t="s">
        <v>9</v>
      </c>
      <c r="O106" t="s">
        <v>12</v>
      </c>
      <c r="P106" s="5">
        <v>2744</v>
      </c>
      <c r="Q106" s="3">
        <v>9</v>
      </c>
    </row>
    <row r="107" spans="13:17" x14ac:dyDescent="0.25">
      <c r="M107" t="s">
        <v>5</v>
      </c>
      <c r="N107" t="s">
        <v>14</v>
      </c>
      <c r="O107" t="s">
        <v>19</v>
      </c>
      <c r="P107" s="5">
        <v>9772</v>
      </c>
      <c r="Q107" s="3">
        <v>90</v>
      </c>
    </row>
    <row r="108" spans="13:17" x14ac:dyDescent="0.25">
      <c r="M108" t="s">
        <v>23</v>
      </c>
      <c r="N108" t="s">
        <v>30</v>
      </c>
      <c r="O108" t="s">
        <v>18</v>
      </c>
      <c r="P108" s="5">
        <v>1568</v>
      </c>
      <c r="Q108" s="3">
        <v>96</v>
      </c>
    </row>
    <row r="109" spans="13:17" x14ac:dyDescent="0.25">
      <c r="M109" t="s">
        <v>26</v>
      </c>
      <c r="N109" t="s">
        <v>14</v>
      </c>
      <c r="O109" t="s">
        <v>29</v>
      </c>
      <c r="P109" s="5">
        <v>11417</v>
      </c>
      <c r="Q109" s="3">
        <v>21</v>
      </c>
    </row>
    <row r="110" spans="13:17" x14ac:dyDescent="0.25">
      <c r="M110" t="s">
        <v>5</v>
      </c>
      <c r="N110" t="s">
        <v>30</v>
      </c>
      <c r="O110" t="s">
        <v>42</v>
      </c>
      <c r="P110" s="5">
        <v>6748</v>
      </c>
      <c r="Q110" s="3">
        <v>48</v>
      </c>
    </row>
    <row r="111" spans="13:17" x14ac:dyDescent="0.25">
      <c r="M111" t="s">
        <v>35</v>
      </c>
      <c r="N111" t="s">
        <v>14</v>
      </c>
      <c r="O111" t="s">
        <v>39</v>
      </c>
      <c r="P111" s="5">
        <v>1407</v>
      </c>
      <c r="Q111" s="3">
        <v>72</v>
      </c>
    </row>
    <row r="112" spans="13:17" x14ac:dyDescent="0.25">
      <c r="M112" t="s">
        <v>8</v>
      </c>
      <c r="N112" t="s">
        <v>9</v>
      </c>
      <c r="O112" t="s">
        <v>32</v>
      </c>
      <c r="P112" s="5">
        <v>2023</v>
      </c>
      <c r="Q112" s="3">
        <v>168</v>
      </c>
    </row>
    <row r="113" spans="13:17" x14ac:dyDescent="0.25">
      <c r="M113" t="s">
        <v>25</v>
      </c>
      <c r="N113" t="s">
        <v>17</v>
      </c>
      <c r="O113" t="s">
        <v>42</v>
      </c>
      <c r="P113" s="5">
        <v>5236</v>
      </c>
      <c r="Q113" s="3">
        <v>51</v>
      </c>
    </row>
    <row r="114" spans="13:17" x14ac:dyDescent="0.25">
      <c r="M114" t="s">
        <v>13</v>
      </c>
      <c r="N114" t="s">
        <v>14</v>
      </c>
      <c r="O114" t="s">
        <v>36</v>
      </c>
      <c r="P114" s="5">
        <v>1925</v>
      </c>
      <c r="Q114" s="3">
        <v>192</v>
      </c>
    </row>
    <row r="115" spans="13:17" x14ac:dyDescent="0.25">
      <c r="M115" t="s">
        <v>23</v>
      </c>
      <c r="N115" t="s">
        <v>6</v>
      </c>
      <c r="O115" t="s">
        <v>24</v>
      </c>
      <c r="P115" s="5">
        <v>6608</v>
      </c>
      <c r="Q115" s="3">
        <v>225</v>
      </c>
    </row>
    <row r="116" spans="13:17" x14ac:dyDescent="0.25">
      <c r="M116" t="s">
        <v>16</v>
      </c>
      <c r="N116" t="s">
        <v>30</v>
      </c>
      <c r="O116" t="s">
        <v>42</v>
      </c>
      <c r="P116" s="5">
        <v>8008</v>
      </c>
      <c r="Q116" s="3">
        <v>456</v>
      </c>
    </row>
    <row r="117" spans="13:17" x14ac:dyDescent="0.25">
      <c r="M117" t="s">
        <v>35</v>
      </c>
      <c r="N117" t="s">
        <v>30</v>
      </c>
      <c r="O117" t="s">
        <v>18</v>
      </c>
      <c r="P117" s="5">
        <v>1428</v>
      </c>
      <c r="Q117" s="3">
        <v>93</v>
      </c>
    </row>
    <row r="118" spans="13:17" x14ac:dyDescent="0.25">
      <c r="M118" t="s">
        <v>16</v>
      </c>
      <c r="N118" t="s">
        <v>30</v>
      </c>
      <c r="O118" t="s">
        <v>12</v>
      </c>
      <c r="P118" s="5">
        <v>525</v>
      </c>
      <c r="Q118" s="3">
        <v>48</v>
      </c>
    </row>
    <row r="119" spans="13:17" x14ac:dyDescent="0.25">
      <c r="M119" t="s">
        <v>16</v>
      </c>
      <c r="N119" t="s">
        <v>6</v>
      </c>
      <c r="O119" t="s">
        <v>15</v>
      </c>
      <c r="P119" s="5">
        <v>1505</v>
      </c>
      <c r="Q119" s="3">
        <v>102</v>
      </c>
    </row>
    <row r="120" spans="13:17" x14ac:dyDescent="0.25">
      <c r="M120" t="s">
        <v>23</v>
      </c>
      <c r="N120" t="s">
        <v>9</v>
      </c>
      <c r="O120" t="s">
        <v>7</v>
      </c>
      <c r="P120" s="5">
        <v>6755</v>
      </c>
      <c r="Q120" s="3">
        <v>252</v>
      </c>
    </row>
    <row r="121" spans="13:17" x14ac:dyDescent="0.25">
      <c r="M121" t="s">
        <v>26</v>
      </c>
      <c r="N121" t="s">
        <v>6</v>
      </c>
      <c r="O121" t="s">
        <v>15</v>
      </c>
      <c r="P121" s="5">
        <v>11571</v>
      </c>
      <c r="Q121" s="3">
        <v>138</v>
      </c>
    </row>
    <row r="122" spans="13:17" x14ac:dyDescent="0.25">
      <c r="M122" t="s">
        <v>5</v>
      </c>
      <c r="N122" t="s">
        <v>20</v>
      </c>
      <c r="O122" t="s">
        <v>18</v>
      </c>
      <c r="P122" s="5">
        <v>2541</v>
      </c>
      <c r="Q122" s="3">
        <v>90</v>
      </c>
    </row>
    <row r="123" spans="13:17" x14ac:dyDescent="0.25">
      <c r="M123" t="s">
        <v>13</v>
      </c>
      <c r="N123" t="s">
        <v>6</v>
      </c>
      <c r="O123" t="s">
        <v>7</v>
      </c>
      <c r="P123" s="5">
        <v>1526</v>
      </c>
      <c r="Q123" s="3">
        <v>240</v>
      </c>
    </row>
    <row r="124" spans="13:17" x14ac:dyDescent="0.25">
      <c r="M124" t="s">
        <v>5</v>
      </c>
      <c r="N124" t="s">
        <v>20</v>
      </c>
      <c r="O124" t="s">
        <v>12</v>
      </c>
      <c r="P124" s="5">
        <v>6125</v>
      </c>
      <c r="Q124" s="3">
        <v>102</v>
      </c>
    </row>
    <row r="125" spans="13:17" x14ac:dyDescent="0.25">
      <c r="M125" t="s">
        <v>13</v>
      </c>
      <c r="N125" t="s">
        <v>9</v>
      </c>
      <c r="O125" t="s">
        <v>39</v>
      </c>
      <c r="P125" s="5">
        <v>847</v>
      </c>
      <c r="Q125" s="3">
        <v>129</v>
      </c>
    </row>
    <row r="126" spans="13:17" x14ac:dyDescent="0.25">
      <c r="M126" t="s">
        <v>8</v>
      </c>
      <c r="N126" t="s">
        <v>9</v>
      </c>
      <c r="O126" t="s">
        <v>39</v>
      </c>
      <c r="P126" s="5">
        <v>4753</v>
      </c>
      <c r="Q126" s="3">
        <v>300</v>
      </c>
    </row>
    <row r="127" spans="13:17" x14ac:dyDescent="0.25">
      <c r="M127" t="s">
        <v>16</v>
      </c>
      <c r="N127" t="s">
        <v>20</v>
      </c>
      <c r="O127" t="s">
        <v>19</v>
      </c>
      <c r="P127" s="5">
        <v>959</v>
      </c>
      <c r="Q127" s="3">
        <v>135</v>
      </c>
    </row>
    <row r="128" spans="13:17" x14ac:dyDescent="0.25">
      <c r="M128" t="s">
        <v>23</v>
      </c>
      <c r="N128" t="s">
        <v>9</v>
      </c>
      <c r="O128" t="s">
        <v>38</v>
      </c>
      <c r="P128" s="5">
        <v>2793</v>
      </c>
      <c r="Q128" s="3">
        <v>114</v>
      </c>
    </row>
    <row r="129" spans="13:17" x14ac:dyDescent="0.25">
      <c r="M129" t="s">
        <v>23</v>
      </c>
      <c r="N129" t="s">
        <v>9</v>
      </c>
      <c r="O129" t="s">
        <v>24</v>
      </c>
      <c r="P129" s="5">
        <v>4606</v>
      </c>
      <c r="Q129" s="3">
        <v>63</v>
      </c>
    </row>
    <row r="130" spans="13:17" x14ac:dyDescent="0.25">
      <c r="M130" t="s">
        <v>23</v>
      </c>
      <c r="N130" t="s">
        <v>14</v>
      </c>
      <c r="O130" t="s">
        <v>32</v>
      </c>
      <c r="P130" s="5">
        <v>5551</v>
      </c>
      <c r="Q130" s="3">
        <v>252</v>
      </c>
    </row>
    <row r="131" spans="13:17" x14ac:dyDescent="0.25">
      <c r="M131" t="s">
        <v>35</v>
      </c>
      <c r="N131" t="s">
        <v>14</v>
      </c>
      <c r="O131" t="s">
        <v>10</v>
      </c>
      <c r="P131" s="5">
        <v>6657</v>
      </c>
      <c r="Q131" s="3">
        <v>303</v>
      </c>
    </row>
    <row r="132" spans="13:17" x14ac:dyDescent="0.25">
      <c r="M132" t="s">
        <v>23</v>
      </c>
      <c r="N132" t="s">
        <v>17</v>
      </c>
      <c r="O132" t="s">
        <v>28</v>
      </c>
      <c r="P132" s="5">
        <v>4438</v>
      </c>
      <c r="Q132" s="3">
        <v>246</v>
      </c>
    </row>
    <row r="133" spans="13:17" x14ac:dyDescent="0.25">
      <c r="M133" t="s">
        <v>8</v>
      </c>
      <c r="N133" t="s">
        <v>20</v>
      </c>
      <c r="O133" t="s">
        <v>22</v>
      </c>
      <c r="P133" s="5">
        <v>168</v>
      </c>
      <c r="Q133" s="3">
        <v>84</v>
      </c>
    </row>
    <row r="134" spans="13:17" x14ac:dyDescent="0.25">
      <c r="M134" t="s">
        <v>23</v>
      </c>
      <c r="N134" t="s">
        <v>30</v>
      </c>
      <c r="O134" t="s">
        <v>28</v>
      </c>
      <c r="P134" s="5">
        <v>7777</v>
      </c>
      <c r="Q134" s="3">
        <v>39</v>
      </c>
    </row>
    <row r="135" spans="13:17" x14ac:dyDescent="0.25">
      <c r="M135" t="s">
        <v>25</v>
      </c>
      <c r="N135" t="s">
        <v>14</v>
      </c>
      <c r="O135" t="s">
        <v>28</v>
      </c>
      <c r="P135" s="5">
        <v>3339</v>
      </c>
      <c r="Q135" s="3">
        <v>348</v>
      </c>
    </row>
    <row r="136" spans="13:17" x14ac:dyDescent="0.25">
      <c r="M136" t="s">
        <v>23</v>
      </c>
      <c r="N136" t="s">
        <v>6</v>
      </c>
      <c r="O136" t="s">
        <v>19</v>
      </c>
      <c r="P136" s="5">
        <v>6391</v>
      </c>
      <c r="Q136" s="3">
        <v>48</v>
      </c>
    </row>
    <row r="137" spans="13:17" x14ac:dyDescent="0.25">
      <c r="M137" t="s">
        <v>25</v>
      </c>
      <c r="N137" t="s">
        <v>6</v>
      </c>
      <c r="O137" t="s">
        <v>22</v>
      </c>
      <c r="P137" s="5">
        <v>518</v>
      </c>
      <c r="Q137" s="3">
        <v>75</v>
      </c>
    </row>
    <row r="138" spans="13:17" x14ac:dyDescent="0.25">
      <c r="M138" t="s">
        <v>23</v>
      </c>
      <c r="N138" t="s">
        <v>20</v>
      </c>
      <c r="O138" t="s">
        <v>40</v>
      </c>
      <c r="P138" s="5">
        <v>5677</v>
      </c>
      <c r="Q138" s="3">
        <v>258</v>
      </c>
    </row>
    <row r="139" spans="13:17" x14ac:dyDescent="0.25">
      <c r="M139" t="s">
        <v>16</v>
      </c>
      <c r="N139" t="s">
        <v>17</v>
      </c>
      <c r="O139" t="s">
        <v>28</v>
      </c>
      <c r="P139" s="5">
        <v>6048</v>
      </c>
      <c r="Q139" s="3">
        <v>27</v>
      </c>
    </row>
    <row r="140" spans="13:17" x14ac:dyDescent="0.25">
      <c r="M140" t="s">
        <v>8</v>
      </c>
      <c r="N140" t="s">
        <v>20</v>
      </c>
      <c r="O140" t="s">
        <v>10</v>
      </c>
      <c r="P140" s="5">
        <v>3752</v>
      </c>
      <c r="Q140" s="3">
        <v>213</v>
      </c>
    </row>
    <row r="141" spans="13:17" x14ac:dyDescent="0.25">
      <c r="M141" t="s">
        <v>25</v>
      </c>
      <c r="N141" t="s">
        <v>9</v>
      </c>
      <c r="O141" t="s">
        <v>32</v>
      </c>
      <c r="P141" s="5">
        <v>4480</v>
      </c>
      <c r="Q141" s="3">
        <v>357</v>
      </c>
    </row>
    <row r="142" spans="13:17" x14ac:dyDescent="0.25">
      <c r="M142" t="s">
        <v>11</v>
      </c>
      <c r="N142" t="s">
        <v>6</v>
      </c>
      <c r="O142" t="s">
        <v>12</v>
      </c>
      <c r="P142" s="5">
        <v>259</v>
      </c>
      <c r="Q142" s="3">
        <v>207</v>
      </c>
    </row>
    <row r="143" spans="13:17" x14ac:dyDescent="0.25">
      <c r="M143" t="s">
        <v>8</v>
      </c>
      <c r="N143" t="s">
        <v>6</v>
      </c>
      <c r="O143" t="s">
        <v>7</v>
      </c>
      <c r="P143" s="5">
        <v>42</v>
      </c>
      <c r="Q143" s="3">
        <v>150</v>
      </c>
    </row>
    <row r="144" spans="13:17" x14ac:dyDescent="0.25">
      <c r="M144" t="s">
        <v>13</v>
      </c>
      <c r="N144" t="s">
        <v>14</v>
      </c>
      <c r="O144" t="s">
        <v>42</v>
      </c>
      <c r="P144" s="5">
        <v>98</v>
      </c>
      <c r="Q144" s="3">
        <v>204</v>
      </c>
    </row>
    <row r="145" spans="13:17" x14ac:dyDescent="0.25">
      <c r="M145" t="s">
        <v>23</v>
      </c>
      <c r="N145" t="s">
        <v>9</v>
      </c>
      <c r="O145" t="s">
        <v>39</v>
      </c>
      <c r="P145" s="5">
        <v>2478</v>
      </c>
      <c r="Q145" s="3">
        <v>21</v>
      </c>
    </row>
    <row r="146" spans="13:17" x14ac:dyDescent="0.25">
      <c r="M146" t="s">
        <v>13</v>
      </c>
      <c r="N146" t="s">
        <v>30</v>
      </c>
      <c r="O146" t="s">
        <v>19</v>
      </c>
      <c r="P146" s="5">
        <v>7847</v>
      </c>
      <c r="Q146" s="3">
        <v>174</v>
      </c>
    </row>
    <row r="147" spans="13:17" x14ac:dyDescent="0.25">
      <c r="M147" t="s">
        <v>26</v>
      </c>
      <c r="N147" t="s">
        <v>6</v>
      </c>
      <c r="O147" t="s">
        <v>28</v>
      </c>
      <c r="P147" s="5">
        <v>9926</v>
      </c>
      <c r="Q147" s="3">
        <v>201</v>
      </c>
    </row>
    <row r="148" spans="13:17" x14ac:dyDescent="0.25">
      <c r="M148" t="s">
        <v>8</v>
      </c>
      <c r="N148" t="s">
        <v>20</v>
      </c>
      <c r="O148" t="s">
        <v>31</v>
      </c>
      <c r="P148" s="5">
        <v>819</v>
      </c>
      <c r="Q148" s="3">
        <v>510</v>
      </c>
    </row>
    <row r="149" spans="13:17" x14ac:dyDescent="0.25">
      <c r="M149" t="s">
        <v>16</v>
      </c>
      <c r="N149" t="s">
        <v>17</v>
      </c>
      <c r="O149" t="s">
        <v>32</v>
      </c>
      <c r="P149" s="5">
        <v>3052</v>
      </c>
      <c r="Q149" s="3">
        <v>378</v>
      </c>
    </row>
    <row r="150" spans="13:17" x14ac:dyDescent="0.25">
      <c r="M150" t="s">
        <v>11</v>
      </c>
      <c r="N150" t="s">
        <v>30</v>
      </c>
      <c r="O150" t="s">
        <v>41</v>
      </c>
      <c r="P150" s="5">
        <v>6832</v>
      </c>
      <c r="Q150" s="3">
        <v>27</v>
      </c>
    </row>
    <row r="151" spans="13:17" x14ac:dyDescent="0.25">
      <c r="M151" t="s">
        <v>26</v>
      </c>
      <c r="N151" t="s">
        <v>17</v>
      </c>
      <c r="O151" t="s">
        <v>29</v>
      </c>
      <c r="P151" s="5">
        <v>2016</v>
      </c>
      <c r="Q151" s="3">
        <v>117</v>
      </c>
    </row>
    <row r="152" spans="13:17" x14ac:dyDescent="0.25">
      <c r="M152" t="s">
        <v>16</v>
      </c>
      <c r="N152" t="s">
        <v>20</v>
      </c>
      <c r="O152" t="s">
        <v>41</v>
      </c>
      <c r="P152" s="5">
        <v>7322</v>
      </c>
      <c r="Q152" s="3">
        <v>36</v>
      </c>
    </row>
    <row r="153" spans="13:17" x14ac:dyDescent="0.25">
      <c r="M153" t="s">
        <v>8</v>
      </c>
      <c r="N153" t="s">
        <v>9</v>
      </c>
      <c r="O153" t="s">
        <v>19</v>
      </c>
      <c r="P153" s="5">
        <v>357</v>
      </c>
      <c r="Q153" s="3">
        <v>126</v>
      </c>
    </row>
    <row r="154" spans="13:17" x14ac:dyDescent="0.25">
      <c r="M154" t="s">
        <v>11</v>
      </c>
      <c r="N154" t="s">
        <v>17</v>
      </c>
      <c r="O154" t="s">
        <v>18</v>
      </c>
      <c r="P154" s="5">
        <v>3192</v>
      </c>
      <c r="Q154" s="3">
        <v>72</v>
      </c>
    </row>
    <row r="155" spans="13:17" x14ac:dyDescent="0.25">
      <c r="M155" t="s">
        <v>23</v>
      </c>
      <c r="N155" t="s">
        <v>14</v>
      </c>
      <c r="O155" t="s">
        <v>22</v>
      </c>
      <c r="P155" s="5">
        <v>8435</v>
      </c>
      <c r="Q155" s="3">
        <v>42</v>
      </c>
    </row>
    <row r="156" spans="13:17" x14ac:dyDescent="0.25">
      <c r="M156" t="s">
        <v>5</v>
      </c>
      <c r="N156" t="s">
        <v>17</v>
      </c>
      <c r="O156" t="s">
        <v>32</v>
      </c>
      <c r="P156" s="5">
        <v>0</v>
      </c>
      <c r="Q156" s="3">
        <v>135</v>
      </c>
    </row>
    <row r="157" spans="13:17" x14ac:dyDescent="0.25">
      <c r="M157" t="s">
        <v>23</v>
      </c>
      <c r="N157" t="s">
        <v>30</v>
      </c>
      <c r="O157" t="s">
        <v>38</v>
      </c>
      <c r="P157" s="5">
        <v>8862</v>
      </c>
      <c r="Q157" s="3">
        <v>189</v>
      </c>
    </row>
    <row r="158" spans="13:17" x14ac:dyDescent="0.25">
      <c r="M158" t="s">
        <v>16</v>
      </c>
      <c r="N158" t="s">
        <v>6</v>
      </c>
      <c r="O158" t="s">
        <v>40</v>
      </c>
      <c r="P158" s="5">
        <v>3556</v>
      </c>
      <c r="Q158" s="3">
        <v>459</v>
      </c>
    </row>
    <row r="159" spans="13:17" x14ac:dyDescent="0.25">
      <c r="M159" t="s">
        <v>25</v>
      </c>
      <c r="N159" t="s">
        <v>30</v>
      </c>
      <c r="O159" t="s">
        <v>37</v>
      </c>
      <c r="P159" s="5">
        <v>7280</v>
      </c>
      <c r="Q159" s="3">
        <v>201</v>
      </c>
    </row>
    <row r="160" spans="13:17" x14ac:dyDescent="0.25">
      <c r="M160" t="s">
        <v>16</v>
      </c>
      <c r="N160" t="s">
        <v>30</v>
      </c>
      <c r="O160" t="s">
        <v>7</v>
      </c>
      <c r="P160" s="5">
        <v>3402</v>
      </c>
      <c r="Q160" s="3">
        <v>366</v>
      </c>
    </row>
    <row r="161" spans="13:17" x14ac:dyDescent="0.25">
      <c r="M161" t="s">
        <v>27</v>
      </c>
      <c r="N161" t="s">
        <v>6</v>
      </c>
      <c r="O161" t="s">
        <v>32</v>
      </c>
      <c r="P161" s="5">
        <v>4592</v>
      </c>
      <c r="Q161" s="3">
        <v>324</v>
      </c>
    </row>
    <row r="162" spans="13:17" x14ac:dyDescent="0.25">
      <c r="M162" t="s">
        <v>11</v>
      </c>
      <c r="N162" t="s">
        <v>9</v>
      </c>
      <c r="O162" t="s">
        <v>37</v>
      </c>
      <c r="P162" s="5">
        <v>7833</v>
      </c>
      <c r="Q162" s="3">
        <v>243</v>
      </c>
    </row>
    <row r="163" spans="13:17" x14ac:dyDescent="0.25">
      <c r="M163" t="s">
        <v>26</v>
      </c>
      <c r="N163" t="s">
        <v>17</v>
      </c>
      <c r="O163" t="s">
        <v>41</v>
      </c>
      <c r="P163" s="5">
        <v>7651</v>
      </c>
      <c r="Q163" s="3">
        <v>213</v>
      </c>
    </row>
    <row r="164" spans="13:17" x14ac:dyDescent="0.25">
      <c r="M164" t="s">
        <v>5</v>
      </c>
      <c r="N164" t="s">
        <v>9</v>
      </c>
      <c r="O164" t="s">
        <v>7</v>
      </c>
      <c r="P164" s="5">
        <v>2275</v>
      </c>
      <c r="Q164" s="3">
        <v>447</v>
      </c>
    </row>
    <row r="165" spans="13:17" x14ac:dyDescent="0.25">
      <c r="M165" t="s">
        <v>5</v>
      </c>
      <c r="N165" t="s">
        <v>20</v>
      </c>
      <c r="O165" t="s">
        <v>31</v>
      </c>
      <c r="P165" s="5">
        <v>5670</v>
      </c>
      <c r="Q165" s="3">
        <v>297</v>
      </c>
    </row>
    <row r="166" spans="13:17" x14ac:dyDescent="0.25">
      <c r="M166" t="s">
        <v>23</v>
      </c>
      <c r="N166" t="s">
        <v>9</v>
      </c>
      <c r="O166" t="s">
        <v>29</v>
      </c>
      <c r="P166" s="5">
        <v>2135</v>
      </c>
      <c r="Q166" s="3">
        <v>27</v>
      </c>
    </row>
    <row r="167" spans="13:17" x14ac:dyDescent="0.25">
      <c r="M167" t="s">
        <v>5</v>
      </c>
      <c r="N167" t="s">
        <v>30</v>
      </c>
      <c r="O167" t="s">
        <v>34</v>
      </c>
      <c r="P167" s="5">
        <v>2779</v>
      </c>
      <c r="Q167" s="3">
        <v>75</v>
      </c>
    </row>
    <row r="168" spans="13:17" x14ac:dyDescent="0.25">
      <c r="M168" t="s">
        <v>35</v>
      </c>
      <c r="N168" t="s">
        <v>17</v>
      </c>
      <c r="O168" t="s">
        <v>19</v>
      </c>
      <c r="P168" s="5">
        <v>12950</v>
      </c>
      <c r="Q168" s="3">
        <v>30</v>
      </c>
    </row>
    <row r="169" spans="13:17" x14ac:dyDescent="0.25">
      <c r="M169" t="s">
        <v>23</v>
      </c>
      <c r="N169" t="s">
        <v>14</v>
      </c>
      <c r="O169" t="s">
        <v>15</v>
      </c>
      <c r="P169" s="5">
        <v>2646</v>
      </c>
      <c r="Q169" s="3">
        <v>177</v>
      </c>
    </row>
    <row r="170" spans="13:17" x14ac:dyDescent="0.25">
      <c r="M170" t="s">
        <v>5</v>
      </c>
      <c r="N170" t="s">
        <v>30</v>
      </c>
      <c r="O170" t="s">
        <v>19</v>
      </c>
      <c r="P170" s="5">
        <v>3794</v>
      </c>
      <c r="Q170" s="3">
        <v>159</v>
      </c>
    </row>
    <row r="171" spans="13:17" x14ac:dyDescent="0.25">
      <c r="M171" t="s">
        <v>27</v>
      </c>
      <c r="N171" t="s">
        <v>9</v>
      </c>
      <c r="O171" t="s">
        <v>19</v>
      </c>
      <c r="P171" s="5">
        <v>819</v>
      </c>
      <c r="Q171" s="3">
        <v>306</v>
      </c>
    </row>
    <row r="172" spans="13:17" x14ac:dyDescent="0.25">
      <c r="M172" t="s">
        <v>27</v>
      </c>
      <c r="N172" t="s">
        <v>30</v>
      </c>
      <c r="O172" t="s">
        <v>33</v>
      </c>
      <c r="P172" s="5">
        <v>2583</v>
      </c>
      <c r="Q172" s="3">
        <v>18</v>
      </c>
    </row>
    <row r="173" spans="13:17" x14ac:dyDescent="0.25">
      <c r="M173" t="s">
        <v>23</v>
      </c>
      <c r="N173" t="s">
        <v>9</v>
      </c>
      <c r="O173" t="s">
        <v>36</v>
      </c>
      <c r="P173" s="5">
        <v>4585</v>
      </c>
      <c r="Q173" s="3">
        <v>240</v>
      </c>
    </row>
    <row r="174" spans="13:17" x14ac:dyDescent="0.25">
      <c r="M174" t="s">
        <v>25</v>
      </c>
      <c r="N174" t="s">
        <v>30</v>
      </c>
      <c r="O174" t="s">
        <v>19</v>
      </c>
      <c r="P174" s="5">
        <v>1652</v>
      </c>
      <c r="Q174" s="3">
        <v>93</v>
      </c>
    </row>
    <row r="175" spans="13:17" x14ac:dyDescent="0.25">
      <c r="M175" t="s">
        <v>35</v>
      </c>
      <c r="N175" t="s">
        <v>30</v>
      </c>
      <c r="O175" t="s">
        <v>42</v>
      </c>
      <c r="P175" s="5">
        <v>4991</v>
      </c>
      <c r="Q175" s="3">
        <v>9</v>
      </c>
    </row>
    <row r="176" spans="13:17" x14ac:dyDescent="0.25">
      <c r="M176" t="s">
        <v>8</v>
      </c>
      <c r="N176" t="s">
        <v>30</v>
      </c>
      <c r="O176" t="s">
        <v>29</v>
      </c>
      <c r="P176" s="5">
        <v>2009</v>
      </c>
      <c r="Q176" s="3">
        <v>219</v>
      </c>
    </row>
    <row r="177" spans="13:17" x14ac:dyDescent="0.25">
      <c r="M177" t="s">
        <v>26</v>
      </c>
      <c r="N177" t="s">
        <v>17</v>
      </c>
      <c r="O177" t="s">
        <v>22</v>
      </c>
      <c r="P177" s="5">
        <v>1568</v>
      </c>
      <c r="Q177" s="3">
        <v>141</v>
      </c>
    </row>
    <row r="178" spans="13:17" x14ac:dyDescent="0.25">
      <c r="M178" t="s">
        <v>13</v>
      </c>
      <c r="N178" t="s">
        <v>6</v>
      </c>
      <c r="O178" t="s">
        <v>33</v>
      </c>
      <c r="P178" s="5">
        <v>3388</v>
      </c>
      <c r="Q178" s="3">
        <v>123</v>
      </c>
    </row>
    <row r="179" spans="13:17" x14ac:dyDescent="0.25">
      <c r="M179" t="s">
        <v>5</v>
      </c>
      <c r="N179" t="s">
        <v>20</v>
      </c>
      <c r="O179" t="s">
        <v>38</v>
      </c>
      <c r="P179" s="5">
        <v>623</v>
      </c>
      <c r="Q179" s="3">
        <v>51</v>
      </c>
    </row>
    <row r="180" spans="13:17" x14ac:dyDescent="0.25">
      <c r="M180" t="s">
        <v>16</v>
      </c>
      <c r="N180" t="s">
        <v>14</v>
      </c>
      <c r="O180" t="s">
        <v>12</v>
      </c>
      <c r="P180" s="5">
        <v>10073</v>
      </c>
      <c r="Q180" s="3">
        <v>120</v>
      </c>
    </row>
    <row r="181" spans="13:17" x14ac:dyDescent="0.25">
      <c r="M181" t="s">
        <v>8</v>
      </c>
      <c r="N181" t="s">
        <v>17</v>
      </c>
      <c r="O181" t="s">
        <v>42</v>
      </c>
      <c r="P181" s="5">
        <v>1561</v>
      </c>
      <c r="Q181" s="3">
        <v>27</v>
      </c>
    </row>
    <row r="182" spans="13:17" x14ac:dyDescent="0.25">
      <c r="M182" t="s">
        <v>11</v>
      </c>
      <c r="N182" t="s">
        <v>14</v>
      </c>
      <c r="O182" t="s">
        <v>39</v>
      </c>
      <c r="P182" s="5">
        <v>11522</v>
      </c>
      <c r="Q182" s="3">
        <v>204</v>
      </c>
    </row>
    <row r="183" spans="13:17" x14ac:dyDescent="0.25">
      <c r="M183" t="s">
        <v>16</v>
      </c>
      <c r="N183" t="s">
        <v>20</v>
      </c>
      <c r="O183" t="s">
        <v>31</v>
      </c>
      <c r="P183" s="5">
        <v>2317</v>
      </c>
      <c r="Q183" s="3">
        <v>123</v>
      </c>
    </row>
    <row r="184" spans="13:17" x14ac:dyDescent="0.25">
      <c r="M184" t="s">
        <v>35</v>
      </c>
      <c r="N184" t="s">
        <v>6</v>
      </c>
      <c r="O184" t="s">
        <v>40</v>
      </c>
      <c r="P184" s="5">
        <v>3059</v>
      </c>
      <c r="Q184" s="3">
        <v>27</v>
      </c>
    </row>
    <row r="185" spans="13:17" x14ac:dyDescent="0.25">
      <c r="M185" t="s">
        <v>13</v>
      </c>
      <c r="N185" t="s">
        <v>6</v>
      </c>
      <c r="O185" t="s">
        <v>42</v>
      </c>
      <c r="P185" s="5">
        <v>2324</v>
      </c>
      <c r="Q185" s="3">
        <v>177</v>
      </c>
    </row>
    <row r="186" spans="13:17" x14ac:dyDescent="0.25">
      <c r="M186" t="s">
        <v>27</v>
      </c>
      <c r="N186" t="s">
        <v>17</v>
      </c>
      <c r="O186" t="s">
        <v>42</v>
      </c>
      <c r="P186" s="5">
        <v>4956</v>
      </c>
      <c r="Q186" s="3">
        <v>171</v>
      </c>
    </row>
    <row r="187" spans="13:17" x14ac:dyDescent="0.25">
      <c r="M187" t="s">
        <v>35</v>
      </c>
      <c r="N187" t="s">
        <v>30</v>
      </c>
      <c r="O187" t="s">
        <v>36</v>
      </c>
      <c r="P187" s="5">
        <v>5355</v>
      </c>
      <c r="Q187" s="3">
        <v>204</v>
      </c>
    </row>
    <row r="188" spans="13:17" x14ac:dyDescent="0.25">
      <c r="M188" t="s">
        <v>27</v>
      </c>
      <c r="N188" t="s">
        <v>30</v>
      </c>
      <c r="O188" t="s">
        <v>24</v>
      </c>
      <c r="P188" s="5">
        <v>7259</v>
      </c>
      <c r="Q188" s="3">
        <v>276</v>
      </c>
    </row>
    <row r="189" spans="13:17" x14ac:dyDescent="0.25">
      <c r="M189" t="s">
        <v>8</v>
      </c>
      <c r="N189" t="s">
        <v>6</v>
      </c>
      <c r="O189" t="s">
        <v>42</v>
      </c>
      <c r="P189" s="5">
        <v>6279</v>
      </c>
      <c r="Q189" s="3">
        <v>45</v>
      </c>
    </row>
    <row r="190" spans="13:17" x14ac:dyDescent="0.25">
      <c r="M190" t="s">
        <v>5</v>
      </c>
      <c r="N190" t="s">
        <v>20</v>
      </c>
      <c r="O190" t="s">
        <v>32</v>
      </c>
      <c r="P190" s="5">
        <v>2541</v>
      </c>
      <c r="Q190" s="3">
        <v>45</v>
      </c>
    </row>
    <row r="191" spans="13:17" x14ac:dyDescent="0.25">
      <c r="M191" t="s">
        <v>16</v>
      </c>
      <c r="N191" t="s">
        <v>9</v>
      </c>
      <c r="O191" t="s">
        <v>39</v>
      </c>
      <c r="P191" s="5">
        <v>3864</v>
      </c>
      <c r="Q191" s="3">
        <v>177</v>
      </c>
    </row>
    <row r="192" spans="13:17" x14ac:dyDescent="0.25">
      <c r="M192" t="s">
        <v>25</v>
      </c>
      <c r="N192" t="s">
        <v>14</v>
      </c>
      <c r="O192" t="s">
        <v>31</v>
      </c>
      <c r="P192" s="5">
        <v>6146</v>
      </c>
      <c r="Q192" s="3">
        <v>63</v>
      </c>
    </row>
    <row r="193" spans="13:17" x14ac:dyDescent="0.25">
      <c r="M193" t="s">
        <v>11</v>
      </c>
      <c r="N193" t="s">
        <v>17</v>
      </c>
      <c r="O193" t="s">
        <v>15</v>
      </c>
      <c r="P193" s="5">
        <v>2639</v>
      </c>
      <c r="Q193" s="3">
        <v>204</v>
      </c>
    </row>
    <row r="194" spans="13:17" x14ac:dyDescent="0.25">
      <c r="M194" t="s">
        <v>8</v>
      </c>
      <c r="N194" t="s">
        <v>6</v>
      </c>
      <c r="O194" t="s">
        <v>22</v>
      </c>
      <c r="P194" s="5">
        <v>1890</v>
      </c>
      <c r="Q194" s="3">
        <v>195</v>
      </c>
    </row>
    <row r="195" spans="13:17" x14ac:dyDescent="0.25">
      <c r="M195" t="s">
        <v>23</v>
      </c>
      <c r="N195" t="s">
        <v>30</v>
      </c>
      <c r="O195" t="s">
        <v>24</v>
      </c>
      <c r="P195" s="5">
        <v>1932</v>
      </c>
      <c r="Q195" s="3">
        <v>369</v>
      </c>
    </row>
    <row r="196" spans="13:17" x14ac:dyDescent="0.25">
      <c r="M196" t="s">
        <v>27</v>
      </c>
      <c r="N196" t="s">
        <v>30</v>
      </c>
      <c r="O196" t="s">
        <v>18</v>
      </c>
      <c r="P196" s="5">
        <v>6300</v>
      </c>
      <c r="Q196" s="3">
        <v>42</v>
      </c>
    </row>
    <row r="197" spans="13:17" x14ac:dyDescent="0.25">
      <c r="M197" t="s">
        <v>16</v>
      </c>
      <c r="N197" t="s">
        <v>6</v>
      </c>
      <c r="O197" t="s">
        <v>7</v>
      </c>
      <c r="P197" s="5">
        <v>560</v>
      </c>
      <c r="Q197" s="3">
        <v>81</v>
      </c>
    </row>
    <row r="198" spans="13:17" x14ac:dyDescent="0.25">
      <c r="M198" t="s">
        <v>11</v>
      </c>
      <c r="N198" t="s">
        <v>6</v>
      </c>
      <c r="O198" t="s">
        <v>42</v>
      </c>
      <c r="P198" s="5">
        <v>2856</v>
      </c>
      <c r="Q198" s="3">
        <v>246</v>
      </c>
    </row>
    <row r="199" spans="13:17" x14ac:dyDescent="0.25">
      <c r="M199" t="s">
        <v>11</v>
      </c>
      <c r="N199" t="s">
        <v>30</v>
      </c>
      <c r="O199" t="s">
        <v>28</v>
      </c>
      <c r="P199" s="5">
        <v>707</v>
      </c>
      <c r="Q199" s="3">
        <v>174</v>
      </c>
    </row>
    <row r="200" spans="13:17" x14ac:dyDescent="0.25">
      <c r="M200" t="s">
        <v>8</v>
      </c>
      <c r="N200" t="s">
        <v>9</v>
      </c>
      <c r="O200" t="s">
        <v>7</v>
      </c>
      <c r="P200" s="5">
        <v>3598</v>
      </c>
      <c r="Q200" s="3">
        <v>81</v>
      </c>
    </row>
    <row r="201" spans="13:17" x14ac:dyDescent="0.25">
      <c r="M201" t="s">
        <v>5</v>
      </c>
      <c r="N201" t="s">
        <v>9</v>
      </c>
      <c r="O201" t="s">
        <v>22</v>
      </c>
      <c r="P201" s="5">
        <v>6853</v>
      </c>
      <c r="Q201" s="3">
        <v>372</v>
      </c>
    </row>
    <row r="202" spans="13:17" x14ac:dyDescent="0.25">
      <c r="M202" t="s">
        <v>5</v>
      </c>
      <c r="N202" t="s">
        <v>9</v>
      </c>
      <c r="O202" t="s">
        <v>29</v>
      </c>
      <c r="P202" s="5">
        <v>4725</v>
      </c>
      <c r="Q202" s="3">
        <v>174</v>
      </c>
    </row>
    <row r="203" spans="13:17" x14ac:dyDescent="0.25">
      <c r="M203" t="s">
        <v>13</v>
      </c>
      <c r="N203" t="s">
        <v>14</v>
      </c>
      <c r="O203" t="s">
        <v>10</v>
      </c>
      <c r="P203" s="5">
        <v>10304</v>
      </c>
      <c r="Q203" s="3">
        <v>84</v>
      </c>
    </row>
    <row r="204" spans="13:17" x14ac:dyDescent="0.25">
      <c r="M204" t="s">
        <v>13</v>
      </c>
      <c r="N204" t="s">
        <v>30</v>
      </c>
      <c r="O204" t="s">
        <v>29</v>
      </c>
      <c r="P204" s="5">
        <v>1274</v>
      </c>
      <c r="Q204" s="3">
        <v>225</v>
      </c>
    </row>
    <row r="205" spans="13:17" x14ac:dyDescent="0.25">
      <c r="M205" t="s">
        <v>25</v>
      </c>
      <c r="N205" t="s">
        <v>14</v>
      </c>
      <c r="O205" t="s">
        <v>7</v>
      </c>
      <c r="P205" s="5">
        <v>1526</v>
      </c>
      <c r="Q205" s="3">
        <v>105</v>
      </c>
    </row>
    <row r="206" spans="13:17" x14ac:dyDescent="0.25">
      <c r="M206" t="s">
        <v>5</v>
      </c>
      <c r="N206" t="s">
        <v>17</v>
      </c>
      <c r="O206" t="s">
        <v>40</v>
      </c>
      <c r="P206" s="5">
        <v>3101</v>
      </c>
      <c r="Q206" s="3">
        <v>225</v>
      </c>
    </row>
    <row r="207" spans="13:17" x14ac:dyDescent="0.25">
      <c r="M207" t="s">
        <v>26</v>
      </c>
      <c r="N207" t="s">
        <v>6</v>
      </c>
      <c r="O207" t="s">
        <v>24</v>
      </c>
      <c r="P207" s="5">
        <v>1057</v>
      </c>
      <c r="Q207" s="3">
        <v>54</v>
      </c>
    </row>
    <row r="208" spans="13:17" x14ac:dyDescent="0.25">
      <c r="M208" t="s">
        <v>23</v>
      </c>
      <c r="N208" t="s">
        <v>6</v>
      </c>
      <c r="O208" t="s">
        <v>42</v>
      </c>
      <c r="P208" s="5">
        <v>5306</v>
      </c>
      <c r="Q208" s="3">
        <v>0</v>
      </c>
    </row>
    <row r="209" spans="13:17" x14ac:dyDescent="0.25">
      <c r="M209" t="s">
        <v>25</v>
      </c>
      <c r="N209" t="s">
        <v>17</v>
      </c>
      <c r="O209" t="s">
        <v>38</v>
      </c>
      <c r="P209" s="5">
        <v>4018</v>
      </c>
      <c r="Q209" s="3">
        <v>171</v>
      </c>
    </row>
    <row r="210" spans="13:17" x14ac:dyDescent="0.25">
      <c r="M210" t="s">
        <v>11</v>
      </c>
      <c r="N210" t="s">
        <v>30</v>
      </c>
      <c r="O210" t="s">
        <v>29</v>
      </c>
      <c r="P210" s="5">
        <v>938</v>
      </c>
      <c r="Q210" s="3">
        <v>189</v>
      </c>
    </row>
    <row r="211" spans="13:17" x14ac:dyDescent="0.25">
      <c r="M211" t="s">
        <v>23</v>
      </c>
      <c r="N211" t="s">
        <v>20</v>
      </c>
      <c r="O211" t="s">
        <v>15</v>
      </c>
      <c r="P211" s="5">
        <v>1778</v>
      </c>
      <c r="Q211" s="3">
        <v>270</v>
      </c>
    </row>
    <row r="212" spans="13:17" x14ac:dyDescent="0.25">
      <c r="M212" t="s">
        <v>16</v>
      </c>
      <c r="N212" t="s">
        <v>17</v>
      </c>
      <c r="O212" t="s">
        <v>7</v>
      </c>
      <c r="P212" s="5">
        <v>1638</v>
      </c>
      <c r="Q212" s="3">
        <v>63</v>
      </c>
    </row>
    <row r="213" spans="13:17" x14ac:dyDescent="0.25">
      <c r="M213" t="s">
        <v>13</v>
      </c>
      <c r="N213" t="s">
        <v>20</v>
      </c>
      <c r="O213" t="s">
        <v>18</v>
      </c>
      <c r="P213" s="5">
        <v>154</v>
      </c>
      <c r="Q213" s="3">
        <v>21</v>
      </c>
    </row>
    <row r="214" spans="13:17" x14ac:dyDescent="0.25">
      <c r="M214" t="s">
        <v>23</v>
      </c>
      <c r="N214" t="s">
        <v>6</v>
      </c>
      <c r="O214" t="s">
        <v>22</v>
      </c>
      <c r="P214" s="5">
        <v>9835</v>
      </c>
      <c r="Q214" s="3">
        <v>207</v>
      </c>
    </row>
    <row r="215" spans="13:17" x14ac:dyDescent="0.25">
      <c r="M215" t="s">
        <v>11</v>
      </c>
      <c r="N215" t="s">
        <v>6</v>
      </c>
      <c r="O215" t="s">
        <v>33</v>
      </c>
      <c r="P215" s="5">
        <v>7273</v>
      </c>
      <c r="Q215" s="3">
        <v>96</v>
      </c>
    </row>
    <row r="216" spans="13:17" x14ac:dyDescent="0.25">
      <c r="M216" t="s">
        <v>25</v>
      </c>
      <c r="N216" t="s">
        <v>17</v>
      </c>
      <c r="O216" t="s">
        <v>22</v>
      </c>
      <c r="P216" s="5">
        <v>6909</v>
      </c>
      <c r="Q216" s="3">
        <v>81</v>
      </c>
    </row>
    <row r="217" spans="13:17" x14ac:dyDescent="0.25">
      <c r="M217" t="s">
        <v>11</v>
      </c>
      <c r="N217" t="s">
        <v>17</v>
      </c>
      <c r="O217" t="s">
        <v>38</v>
      </c>
      <c r="P217" s="5">
        <v>3920</v>
      </c>
      <c r="Q217" s="3">
        <v>306</v>
      </c>
    </row>
    <row r="218" spans="13:17" x14ac:dyDescent="0.25">
      <c r="M218" t="s">
        <v>35</v>
      </c>
      <c r="N218" t="s">
        <v>17</v>
      </c>
      <c r="O218" t="s">
        <v>41</v>
      </c>
      <c r="P218" s="5">
        <v>4858</v>
      </c>
      <c r="Q218" s="3">
        <v>279</v>
      </c>
    </row>
    <row r="219" spans="13:17" x14ac:dyDescent="0.25">
      <c r="M219" t="s">
        <v>26</v>
      </c>
      <c r="N219" t="s">
        <v>20</v>
      </c>
      <c r="O219" t="s">
        <v>12</v>
      </c>
      <c r="P219" s="5">
        <v>3549</v>
      </c>
      <c r="Q219" s="3">
        <v>3</v>
      </c>
    </row>
    <row r="220" spans="13:17" x14ac:dyDescent="0.25">
      <c r="M220" t="s">
        <v>23</v>
      </c>
      <c r="N220" t="s">
        <v>17</v>
      </c>
      <c r="O220" t="s">
        <v>39</v>
      </c>
      <c r="P220" s="5">
        <v>966</v>
      </c>
      <c r="Q220" s="3">
        <v>198</v>
      </c>
    </row>
    <row r="221" spans="13:17" x14ac:dyDescent="0.25">
      <c r="M221" t="s">
        <v>25</v>
      </c>
      <c r="N221" t="s">
        <v>17</v>
      </c>
      <c r="O221" t="s">
        <v>15</v>
      </c>
      <c r="P221" s="5">
        <v>385</v>
      </c>
      <c r="Q221" s="3">
        <v>249</v>
      </c>
    </row>
    <row r="222" spans="13:17" x14ac:dyDescent="0.25">
      <c r="M222" t="s">
        <v>16</v>
      </c>
      <c r="N222" t="s">
        <v>30</v>
      </c>
      <c r="O222" t="s">
        <v>29</v>
      </c>
      <c r="P222" s="5">
        <v>2219</v>
      </c>
      <c r="Q222" s="3">
        <v>75</v>
      </c>
    </row>
    <row r="223" spans="13:17" x14ac:dyDescent="0.25">
      <c r="M223" t="s">
        <v>11</v>
      </c>
      <c r="N223" t="s">
        <v>14</v>
      </c>
      <c r="O223" t="s">
        <v>10</v>
      </c>
      <c r="P223" s="5">
        <v>2954</v>
      </c>
      <c r="Q223" s="3">
        <v>189</v>
      </c>
    </row>
    <row r="224" spans="13:17" x14ac:dyDescent="0.25">
      <c r="M224" t="s">
        <v>23</v>
      </c>
      <c r="N224" t="s">
        <v>14</v>
      </c>
      <c r="O224" t="s">
        <v>10</v>
      </c>
      <c r="P224" s="5">
        <v>280</v>
      </c>
      <c r="Q224" s="3">
        <v>87</v>
      </c>
    </row>
    <row r="225" spans="13:17" x14ac:dyDescent="0.25">
      <c r="M225" t="s">
        <v>13</v>
      </c>
      <c r="N225" t="s">
        <v>14</v>
      </c>
      <c r="O225" t="s">
        <v>7</v>
      </c>
      <c r="P225" s="5">
        <v>6118</v>
      </c>
      <c r="Q225" s="3">
        <v>174</v>
      </c>
    </row>
    <row r="226" spans="13:17" x14ac:dyDescent="0.25">
      <c r="M226" t="s">
        <v>26</v>
      </c>
      <c r="N226" t="s">
        <v>17</v>
      </c>
      <c r="O226" t="s">
        <v>37</v>
      </c>
      <c r="P226" s="5">
        <v>4802</v>
      </c>
      <c r="Q226" s="3">
        <v>36</v>
      </c>
    </row>
    <row r="227" spans="13:17" x14ac:dyDescent="0.25">
      <c r="M227" t="s">
        <v>11</v>
      </c>
      <c r="N227" t="s">
        <v>20</v>
      </c>
      <c r="O227" t="s">
        <v>38</v>
      </c>
      <c r="P227" s="5">
        <v>4137</v>
      </c>
      <c r="Q227" s="3">
        <v>60</v>
      </c>
    </row>
    <row r="228" spans="13:17" x14ac:dyDescent="0.25">
      <c r="M228" t="s">
        <v>27</v>
      </c>
      <c r="N228" t="s">
        <v>9</v>
      </c>
      <c r="O228" t="s">
        <v>34</v>
      </c>
      <c r="P228" s="5">
        <v>2023</v>
      </c>
      <c r="Q228" s="3">
        <v>78</v>
      </c>
    </row>
    <row r="229" spans="13:17" x14ac:dyDescent="0.25">
      <c r="M229" t="s">
        <v>11</v>
      </c>
      <c r="N229" t="s">
        <v>14</v>
      </c>
      <c r="O229" t="s">
        <v>7</v>
      </c>
      <c r="P229" s="5">
        <v>9051</v>
      </c>
      <c r="Q229" s="3">
        <v>57</v>
      </c>
    </row>
    <row r="230" spans="13:17" x14ac:dyDescent="0.25">
      <c r="M230" t="s">
        <v>11</v>
      </c>
      <c r="N230" t="s">
        <v>6</v>
      </c>
      <c r="O230" t="s">
        <v>40</v>
      </c>
      <c r="P230" s="5">
        <v>2919</v>
      </c>
      <c r="Q230" s="3">
        <v>45</v>
      </c>
    </row>
    <row r="231" spans="13:17" x14ac:dyDescent="0.25">
      <c r="M231" t="s">
        <v>13</v>
      </c>
      <c r="N231" t="s">
        <v>20</v>
      </c>
      <c r="O231" t="s">
        <v>22</v>
      </c>
      <c r="P231" s="5">
        <v>5915</v>
      </c>
      <c r="Q231" s="3">
        <v>3</v>
      </c>
    </row>
    <row r="232" spans="13:17" x14ac:dyDescent="0.25">
      <c r="M232" t="s">
        <v>35</v>
      </c>
      <c r="N232" t="s">
        <v>9</v>
      </c>
      <c r="O232" t="s">
        <v>37</v>
      </c>
      <c r="P232" s="5">
        <v>2562</v>
      </c>
      <c r="Q232" s="3">
        <v>6</v>
      </c>
    </row>
    <row r="233" spans="13:17" x14ac:dyDescent="0.25">
      <c r="M233" t="s">
        <v>25</v>
      </c>
      <c r="N233" t="s">
        <v>6</v>
      </c>
      <c r="O233" t="s">
        <v>18</v>
      </c>
      <c r="P233" s="5">
        <v>8813</v>
      </c>
      <c r="Q233" s="3">
        <v>21</v>
      </c>
    </row>
    <row r="234" spans="13:17" x14ac:dyDescent="0.25">
      <c r="M234" t="s">
        <v>25</v>
      </c>
      <c r="N234" t="s">
        <v>14</v>
      </c>
      <c r="O234" t="s">
        <v>15</v>
      </c>
      <c r="P234" s="5">
        <v>6111</v>
      </c>
      <c r="Q234" s="3">
        <v>3</v>
      </c>
    </row>
    <row r="235" spans="13:17" x14ac:dyDescent="0.25">
      <c r="M235" t="s">
        <v>8</v>
      </c>
      <c r="N235" t="s">
        <v>30</v>
      </c>
      <c r="O235" t="s">
        <v>21</v>
      </c>
      <c r="P235" s="5">
        <v>3507</v>
      </c>
      <c r="Q235" s="3">
        <v>288</v>
      </c>
    </row>
    <row r="236" spans="13:17" x14ac:dyDescent="0.25">
      <c r="M236" t="s">
        <v>16</v>
      </c>
      <c r="N236" t="s">
        <v>14</v>
      </c>
      <c r="O236" t="s">
        <v>31</v>
      </c>
      <c r="P236" s="5">
        <v>4319</v>
      </c>
      <c r="Q236" s="3">
        <v>30</v>
      </c>
    </row>
    <row r="237" spans="13:17" x14ac:dyDescent="0.25">
      <c r="M237" t="s">
        <v>5</v>
      </c>
      <c r="N237" t="s">
        <v>20</v>
      </c>
      <c r="O237" t="s">
        <v>42</v>
      </c>
      <c r="P237" s="5">
        <v>609</v>
      </c>
      <c r="Q237" s="3">
        <v>87</v>
      </c>
    </row>
    <row r="238" spans="13:17" x14ac:dyDescent="0.25">
      <c r="M238" t="s">
        <v>5</v>
      </c>
      <c r="N238" t="s">
        <v>17</v>
      </c>
      <c r="O238" t="s">
        <v>39</v>
      </c>
      <c r="P238" s="5">
        <v>6370</v>
      </c>
      <c r="Q238" s="3">
        <v>30</v>
      </c>
    </row>
    <row r="239" spans="13:17" x14ac:dyDescent="0.25">
      <c r="M239" t="s">
        <v>25</v>
      </c>
      <c r="N239" t="s">
        <v>20</v>
      </c>
      <c r="O239" t="s">
        <v>36</v>
      </c>
      <c r="P239" s="5">
        <v>5474</v>
      </c>
      <c r="Q239" s="3">
        <v>168</v>
      </c>
    </row>
    <row r="240" spans="13:17" x14ac:dyDescent="0.25">
      <c r="M240" t="s">
        <v>5</v>
      </c>
      <c r="N240" t="s">
        <v>14</v>
      </c>
      <c r="O240" t="s">
        <v>39</v>
      </c>
      <c r="P240" s="5">
        <v>3164</v>
      </c>
      <c r="Q240" s="3">
        <v>306</v>
      </c>
    </row>
    <row r="241" spans="13:17" x14ac:dyDescent="0.25">
      <c r="M241" t="s">
        <v>16</v>
      </c>
      <c r="N241" t="s">
        <v>9</v>
      </c>
      <c r="O241" t="s">
        <v>12</v>
      </c>
      <c r="P241" s="5">
        <v>1302</v>
      </c>
      <c r="Q241" s="3">
        <v>402</v>
      </c>
    </row>
    <row r="242" spans="13:17" x14ac:dyDescent="0.25">
      <c r="M242" t="s">
        <v>27</v>
      </c>
      <c r="N242" t="s">
        <v>6</v>
      </c>
      <c r="O242" t="s">
        <v>40</v>
      </c>
      <c r="P242" s="5">
        <v>7308</v>
      </c>
      <c r="Q242" s="3">
        <v>327</v>
      </c>
    </row>
    <row r="243" spans="13:17" x14ac:dyDescent="0.25">
      <c r="M243" t="s">
        <v>5</v>
      </c>
      <c r="N243" t="s">
        <v>6</v>
      </c>
      <c r="O243" t="s">
        <v>39</v>
      </c>
      <c r="P243" s="5">
        <v>6132</v>
      </c>
      <c r="Q243" s="3">
        <v>93</v>
      </c>
    </row>
    <row r="244" spans="13:17" x14ac:dyDescent="0.25">
      <c r="M244" t="s">
        <v>35</v>
      </c>
      <c r="N244" t="s">
        <v>9</v>
      </c>
      <c r="O244" t="s">
        <v>24</v>
      </c>
      <c r="P244" s="5">
        <v>3472</v>
      </c>
      <c r="Q244" s="3">
        <v>96</v>
      </c>
    </row>
    <row r="245" spans="13:17" x14ac:dyDescent="0.25">
      <c r="M245" t="s">
        <v>8</v>
      </c>
      <c r="N245" t="s">
        <v>17</v>
      </c>
      <c r="O245" t="s">
        <v>15</v>
      </c>
      <c r="P245" s="5">
        <v>9660</v>
      </c>
      <c r="Q245" s="3">
        <v>27</v>
      </c>
    </row>
    <row r="246" spans="13:17" x14ac:dyDescent="0.25">
      <c r="M246" t="s">
        <v>11</v>
      </c>
      <c r="N246" t="s">
        <v>20</v>
      </c>
      <c r="O246" t="s">
        <v>42</v>
      </c>
      <c r="P246" s="5">
        <v>2436</v>
      </c>
      <c r="Q246" s="3">
        <v>99</v>
      </c>
    </row>
    <row r="247" spans="13:17" x14ac:dyDescent="0.25">
      <c r="M247" t="s">
        <v>11</v>
      </c>
      <c r="N247" t="s">
        <v>20</v>
      </c>
      <c r="O247" t="s">
        <v>19</v>
      </c>
      <c r="P247" s="5">
        <v>9506</v>
      </c>
      <c r="Q247" s="3">
        <v>87</v>
      </c>
    </row>
    <row r="248" spans="13:17" x14ac:dyDescent="0.25">
      <c r="M248" t="s">
        <v>35</v>
      </c>
      <c r="N248" t="s">
        <v>6</v>
      </c>
      <c r="O248" t="s">
        <v>41</v>
      </c>
      <c r="P248" s="5">
        <v>245</v>
      </c>
      <c r="Q248" s="3">
        <v>288</v>
      </c>
    </row>
    <row r="249" spans="13:17" x14ac:dyDescent="0.25">
      <c r="M249" t="s">
        <v>8</v>
      </c>
      <c r="N249" t="s">
        <v>9</v>
      </c>
      <c r="O249" t="s">
        <v>33</v>
      </c>
      <c r="P249" s="5">
        <v>2702</v>
      </c>
      <c r="Q249" s="3">
        <v>363</v>
      </c>
    </row>
    <row r="250" spans="13:17" x14ac:dyDescent="0.25">
      <c r="M250" t="s">
        <v>35</v>
      </c>
      <c r="N250" t="s">
        <v>30</v>
      </c>
      <c r="O250" t="s">
        <v>28</v>
      </c>
      <c r="P250" s="5">
        <v>700</v>
      </c>
      <c r="Q250" s="3">
        <v>87</v>
      </c>
    </row>
    <row r="251" spans="13:17" x14ac:dyDescent="0.25">
      <c r="M251" t="s">
        <v>16</v>
      </c>
      <c r="N251" t="s">
        <v>30</v>
      </c>
      <c r="O251" t="s">
        <v>28</v>
      </c>
      <c r="P251" s="5">
        <v>3759</v>
      </c>
      <c r="Q251" s="3">
        <v>150</v>
      </c>
    </row>
    <row r="252" spans="13:17" x14ac:dyDescent="0.25">
      <c r="M252" t="s">
        <v>26</v>
      </c>
      <c r="N252" t="s">
        <v>9</v>
      </c>
      <c r="O252" t="s">
        <v>28</v>
      </c>
      <c r="P252" s="5">
        <v>1589</v>
      </c>
      <c r="Q252" s="3">
        <v>303</v>
      </c>
    </row>
    <row r="253" spans="13:17" x14ac:dyDescent="0.25">
      <c r="M253" t="s">
        <v>23</v>
      </c>
      <c r="N253" t="s">
        <v>9</v>
      </c>
      <c r="O253" t="s">
        <v>40</v>
      </c>
      <c r="P253" s="5">
        <v>5194</v>
      </c>
      <c r="Q253" s="3">
        <v>288</v>
      </c>
    </row>
    <row r="254" spans="13:17" x14ac:dyDescent="0.25">
      <c r="M254" t="s">
        <v>35</v>
      </c>
      <c r="N254" t="s">
        <v>14</v>
      </c>
      <c r="O254" t="s">
        <v>31</v>
      </c>
      <c r="P254" s="5">
        <v>945</v>
      </c>
      <c r="Q254" s="3">
        <v>75</v>
      </c>
    </row>
    <row r="255" spans="13:17" x14ac:dyDescent="0.25">
      <c r="M255" t="s">
        <v>5</v>
      </c>
      <c r="N255" t="s">
        <v>20</v>
      </c>
      <c r="O255" t="s">
        <v>21</v>
      </c>
      <c r="P255" s="5">
        <v>1988</v>
      </c>
      <c r="Q255" s="3">
        <v>39</v>
      </c>
    </row>
    <row r="256" spans="13:17" x14ac:dyDescent="0.25">
      <c r="M256" t="s">
        <v>16</v>
      </c>
      <c r="N256" t="s">
        <v>30</v>
      </c>
      <c r="O256" t="s">
        <v>10</v>
      </c>
      <c r="P256" s="5">
        <v>6734</v>
      </c>
      <c r="Q256" s="3">
        <v>123</v>
      </c>
    </row>
    <row r="257" spans="13:17" x14ac:dyDescent="0.25">
      <c r="M257" t="s">
        <v>5</v>
      </c>
      <c r="N257" t="s">
        <v>14</v>
      </c>
      <c r="O257" t="s">
        <v>12</v>
      </c>
      <c r="P257" s="5">
        <v>217</v>
      </c>
      <c r="Q257" s="3">
        <v>36</v>
      </c>
    </row>
    <row r="258" spans="13:17" x14ac:dyDescent="0.25">
      <c r="M258" t="s">
        <v>25</v>
      </c>
      <c r="N258" t="s">
        <v>30</v>
      </c>
      <c r="O258" t="s">
        <v>22</v>
      </c>
      <c r="P258" s="5">
        <v>6279</v>
      </c>
      <c r="Q258" s="3">
        <v>237</v>
      </c>
    </row>
    <row r="259" spans="13:17" x14ac:dyDescent="0.25">
      <c r="M259" t="s">
        <v>5</v>
      </c>
      <c r="N259" t="s">
        <v>14</v>
      </c>
      <c r="O259" t="s">
        <v>31</v>
      </c>
      <c r="P259" s="5">
        <v>4424</v>
      </c>
      <c r="Q259" s="3">
        <v>201</v>
      </c>
    </row>
    <row r="260" spans="13:17" x14ac:dyDescent="0.25">
      <c r="M260" t="s">
        <v>26</v>
      </c>
      <c r="N260" t="s">
        <v>14</v>
      </c>
      <c r="O260" t="s">
        <v>28</v>
      </c>
      <c r="P260" s="5">
        <v>189</v>
      </c>
      <c r="Q260" s="3">
        <v>48</v>
      </c>
    </row>
    <row r="261" spans="13:17" x14ac:dyDescent="0.25">
      <c r="M261" t="s">
        <v>25</v>
      </c>
      <c r="N261" t="s">
        <v>9</v>
      </c>
      <c r="O261" t="s">
        <v>22</v>
      </c>
      <c r="P261" s="5">
        <v>490</v>
      </c>
      <c r="Q261" s="3">
        <v>84</v>
      </c>
    </row>
    <row r="262" spans="13:17" x14ac:dyDescent="0.25">
      <c r="M262" t="s">
        <v>8</v>
      </c>
      <c r="N262" t="s">
        <v>6</v>
      </c>
      <c r="O262" t="s">
        <v>41</v>
      </c>
      <c r="P262" s="5">
        <v>434</v>
      </c>
      <c r="Q262" s="3">
        <v>87</v>
      </c>
    </row>
    <row r="263" spans="13:17" x14ac:dyDescent="0.25">
      <c r="M263" t="s">
        <v>23</v>
      </c>
      <c r="N263" t="s">
        <v>20</v>
      </c>
      <c r="O263" t="s">
        <v>7</v>
      </c>
      <c r="P263" s="5">
        <v>10129</v>
      </c>
      <c r="Q263" s="3">
        <v>312</v>
      </c>
    </row>
    <row r="264" spans="13:17" x14ac:dyDescent="0.25">
      <c r="M264" t="s">
        <v>27</v>
      </c>
      <c r="N264" t="s">
        <v>17</v>
      </c>
      <c r="O264" t="s">
        <v>40</v>
      </c>
      <c r="P264" s="5">
        <v>1652</v>
      </c>
      <c r="Q264" s="3">
        <v>102</v>
      </c>
    </row>
    <row r="265" spans="13:17" x14ac:dyDescent="0.25">
      <c r="M265" t="s">
        <v>8</v>
      </c>
      <c r="N265" t="s">
        <v>20</v>
      </c>
      <c r="O265" t="s">
        <v>41</v>
      </c>
      <c r="P265" s="5">
        <v>6433</v>
      </c>
      <c r="Q265" s="3">
        <v>78</v>
      </c>
    </row>
    <row r="266" spans="13:17" x14ac:dyDescent="0.25">
      <c r="M266" t="s">
        <v>27</v>
      </c>
      <c r="N266" t="s">
        <v>30</v>
      </c>
      <c r="O266" t="s">
        <v>34</v>
      </c>
      <c r="P266" s="5">
        <v>2212</v>
      </c>
      <c r="Q266" s="3">
        <v>117</v>
      </c>
    </row>
    <row r="267" spans="13:17" x14ac:dyDescent="0.25">
      <c r="M267" t="s">
        <v>13</v>
      </c>
      <c r="N267" t="s">
        <v>9</v>
      </c>
      <c r="O267" t="s">
        <v>36</v>
      </c>
      <c r="P267" s="5">
        <v>609</v>
      </c>
      <c r="Q267" s="3">
        <v>99</v>
      </c>
    </row>
    <row r="268" spans="13:17" x14ac:dyDescent="0.25">
      <c r="M268" t="s">
        <v>5</v>
      </c>
      <c r="N268" t="s">
        <v>9</v>
      </c>
      <c r="O268" t="s">
        <v>38</v>
      </c>
      <c r="P268" s="5">
        <v>1638</v>
      </c>
      <c r="Q268" s="3">
        <v>48</v>
      </c>
    </row>
    <row r="269" spans="13:17" x14ac:dyDescent="0.25">
      <c r="M269" t="s">
        <v>23</v>
      </c>
      <c r="N269" t="s">
        <v>30</v>
      </c>
      <c r="O269" t="s">
        <v>37</v>
      </c>
      <c r="P269" s="5">
        <v>3829</v>
      </c>
      <c r="Q269" s="3">
        <v>24</v>
      </c>
    </row>
    <row r="270" spans="13:17" x14ac:dyDescent="0.25">
      <c r="M270" t="s">
        <v>5</v>
      </c>
      <c r="N270" t="s">
        <v>17</v>
      </c>
      <c r="O270" t="s">
        <v>37</v>
      </c>
      <c r="P270" s="5">
        <v>5775</v>
      </c>
      <c r="Q270" s="3">
        <v>42</v>
      </c>
    </row>
    <row r="271" spans="13:17" x14ac:dyDescent="0.25">
      <c r="M271" t="s">
        <v>16</v>
      </c>
      <c r="N271" t="s">
        <v>9</v>
      </c>
      <c r="O271" t="s">
        <v>33</v>
      </c>
      <c r="P271" s="5">
        <v>1071</v>
      </c>
      <c r="Q271" s="3">
        <v>270</v>
      </c>
    </row>
    <row r="272" spans="13:17" x14ac:dyDescent="0.25">
      <c r="M272" t="s">
        <v>8</v>
      </c>
      <c r="N272" t="s">
        <v>14</v>
      </c>
      <c r="O272" t="s">
        <v>34</v>
      </c>
      <c r="P272" s="5">
        <v>5019</v>
      </c>
      <c r="Q272" s="3">
        <v>150</v>
      </c>
    </row>
    <row r="273" spans="13:17" x14ac:dyDescent="0.25">
      <c r="M273" t="s">
        <v>26</v>
      </c>
      <c r="N273" t="s">
        <v>6</v>
      </c>
      <c r="O273" t="s">
        <v>37</v>
      </c>
      <c r="P273" s="5">
        <v>2863</v>
      </c>
      <c r="Q273" s="3">
        <v>42</v>
      </c>
    </row>
    <row r="274" spans="13:17" x14ac:dyDescent="0.25">
      <c r="M274" t="s">
        <v>5</v>
      </c>
      <c r="N274" t="s">
        <v>9</v>
      </c>
      <c r="O274" t="s">
        <v>32</v>
      </c>
      <c r="P274" s="5">
        <v>1617</v>
      </c>
      <c r="Q274" s="3">
        <v>126</v>
      </c>
    </row>
    <row r="275" spans="13:17" x14ac:dyDescent="0.25">
      <c r="M275" t="s">
        <v>16</v>
      </c>
      <c r="N275" t="s">
        <v>6</v>
      </c>
      <c r="O275" t="s">
        <v>42</v>
      </c>
      <c r="P275" s="5">
        <v>6818</v>
      </c>
      <c r="Q275" s="3">
        <v>6</v>
      </c>
    </row>
    <row r="276" spans="13:17" x14ac:dyDescent="0.25">
      <c r="M276" t="s">
        <v>27</v>
      </c>
      <c r="N276" t="s">
        <v>9</v>
      </c>
      <c r="O276" t="s">
        <v>37</v>
      </c>
      <c r="P276" s="5">
        <v>6657</v>
      </c>
      <c r="Q276" s="3">
        <v>276</v>
      </c>
    </row>
    <row r="277" spans="13:17" x14ac:dyDescent="0.25">
      <c r="M277" t="s">
        <v>27</v>
      </c>
      <c r="N277" t="s">
        <v>30</v>
      </c>
      <c r="O277" t="s">
        <v>28</v>
      </c>
      <c r="P277" s="5">
        <v>2919</v>
      </c>
      <c r="Q277" s="3">
        <v>93</v>
      </c>
    </row>
    <row r="278" spans="13:17" x14ac:dyDescent="0.25">
      <c r="M278" t="s">
        <v>26</v>
      </c>
      <c r="N278" t="s">
        <v>14</v>
      </c>
      <c r="O278" t="s">
        <v>21</v>
      </c>
      <c r="P278" s="5">
        <v>3094</v>
      </c>
      <c r="Q278" s="3">
        <v>246</v>
      </c>
    </row>
    <row r="279" spans="13:17" x14ac:dyDescent="0.25">
      <c r="M279" t="s">
        <v>16</v>
      </c>
      <c r="N279" t="s">
        <v>17</v>
      </c>
      <c r="O279" t="s">
        <v>38</v>
      </c>
      <c r="P279" s="5">
        <v>2989</v>
      </c>
      <c r="Q279" s="3">
        <v>3</v>
      </c>
    </row>
    <row r="280" spans="13:17" x14ac:dyDescent="0.25">
      <c r="M280" t="s">
        <v>8</v>
      </c>
      <c r="N280" t="s">
        <v>20</v>
      </c>
      <c r="O280" t="s">
        <v>39</v>
      </c>
      <c r="P280" s="5">
        <v>2268</v>
      </c>
      <c r="Q280" s="3">
        <v>63</v>
      </c>
    </row>
    <row r="281" spans="13:17" x14ac:dyDescent="0.25">
      <c r="M281" t="s">
        <v>25</v>
      </c>
      <c r="N281" t="s">
        <v>9</v>
      </c>
      <c r="O281" t="s">
        <v>21</v>
      </c>
      <c r="P281" s="5">
        <v>4753</v>
      </c>
      <c r="Q281" s="3">
        <v>246</v>
      </c>
    </row>
    <row r="282" spans="13:17" x14ac:dyDescent="0.25">
      <c r="M282" t="s">
        <v>26</v>
      </c>
      <c r="N282" t="s">
        <v>30</v>
      </c>
      <c r="O282" t="s">
        <v>36</v>
      </c>
      <c r="P282" s="5">
        <v>7511</v>
      </c>
      <c r="Q282" s="3">
        <v>120</v>
      </c>
    </row>
    <row r="283" spans="13:17" x14ac:dyDescent="0.25">
      <c r="M283" t="s">
        <v>26</v>
      </c>
      <c r="N283" t="s">
        <v>20</v>
      </c>
      <c r="O283" t="s">
        <v>21</v>
      </c>
      <c r="P283" s="5">
        <v>4326</v>
      </c>
      <c r="Q283" s="3">
        <v>348</v>
      </c>
    </row>
    <row r="284" spans="13:17" x14ac:dyDescent="0.25">
      <c r="M284" t="s">
        <v>13</v>
      </c>
      <c r="N284" t="s">
        <v>30</v>
      </c>
      <c r="O284" t="s">
        <v>34</v>
      </c>
      <c r="P284" s="5">
        <v>4935</v>
      </c>
      <c r="Q284" s="3">
        <v>126</v>
      </c>
    </row>
    <row r="285" spans="13:17" x14ac:dyDescent="0.25">
      <c r="M285" t="s">
        <v>16</v>
      </c>
      <c r="N285" t="s">
        <v>9</v>
      </c>
      <c r="O285" t="s">
        <v>7</v>
      </c>
      <c r="P285" s="5">
        <v>4781</v>
      </c>
      <c r="Q285" s="3">
        <v>123</v>
      </c>
    </row>
    <row r="286" spans="13:17" x14ac:dyDescent="0.25">
      <c r="M286" t="s">
        <v>25</v>
      </c>
      <c r="N286" t="s">
        <v>20</v>
      </c>
      <c r="O286" t="s">
        <v>18</v>
      </c>
      <c r="P286" s="5">
        <v>7483</v>
      </c>
      <c r="Q286" s="3">
        <v>45</v>
      </c>
    </row>
    <row r="287" spans="13:17" x14ac:dyDescent="0.25">
      <c r="M287" t="s">
        <v>35</v>
      </c>
      <c r="N287" t="s">
        <v>20</v>
      </c>
      <c r="O287" t="s">
        <v>12</v>
      </c>
      <c r="P287" s="5">
        <v>6860</v>
      </c>
      <c r="Q287" s="3">
        <v>126</v>
      </c>
    </row>
    <row r="288" spans="13:17" x14ac:dyDescent="0.25">
      <c r="M288" t="s">
        <v>5</v>
      </c>
      <c r="N288" t="s">
        <v>6</v>
      </c>
      <c r="O288" t="s">
        <v>32</v>
      </c>
      <c r="P288" s="5">
        <v>9002</v>
      </c>
      <c r="Q288" s="3">
        <v>72</v>
      </c>
    </row>
    <row r="289" spans="13:17" x14ac:dyDescent="0.25">
      <c r="M289" t="s">
        <v>16</v>
      </c>
      <c r="N289" t="s">
        <v>14</v>
      </c>
      <c r="O289" t="s">
        <v>32</v>
      </c>
      <c r="P289" s="5">
        <v>1400</v>
      </c>
      <c r="Q289" s="3">
        <v>135</v>
      </c>
    </row>
    <row r="290" spans="13:17" x14ac:dyDescent="0.25">
      <c r="M290" t="s">
        <v>35</v>
      </c>
      <c r="N290" t="s">
        <v>30</v>
      </c>
      <c r="O290" t="s">
        <v>22</v>
      </c>
      <c r="P290" s="5">
        <v>4053</v>
      </c>
      <c r="Q290" s="3">
        <v>24</v>
      </c>
    </row>
    <row r="291" spans="13:17" x14ac:dyDescent="0.25">
      <c r="M291" t="s">
        <v>23</v>
      </c>
      <c r="N291" t="s">
        <v>14</v>
      </c>
      <c r="O291" t="s">
        <v>21</v>
      </c>
      <c r="P291" s="5">
        <v>2149</v>
      </c>
      <c r="Q291" s="3">
        <v>117</v>
      </c>
    </row>
    <row r="292" spans="13:17" x14ac:dyDescent="0.25">
      <c r="M292" t="s">
        <v>27</v>
      </c>
      <c r="N292" t="s">
        <v>17</v>
      </c>
      <c r="O292" t="s">
        <v>32</v>
      </c>
      <c r="P292" s="5">
        <v>3640</v>
      </c>
      <c r="Q292" s="3">
        <v>51</v>
      </c>
    </row>
    <row r="293" spans="13:17" x14ac:dyDescent="0.25">
      <c r="M293" t="s">
        <v>26</v>
      </c>
      <c r="N293" t="s">
        <v>17</v>
      </c>
      <c r="O293" t="s">
        <v>34</v>
      </c>
      <c r="P293" s="5">
        <v>630</v>
      </c>
      <c r="Q293" s="3">
        <v>36</v>
      </c>
    </row>
    <row r="294" spans="13:17" x14ac:dyDescent="0.25">
      <c r="M294" t="s">
        <v>11</v>
      </c>
      <c r="N294" t="s">
        <v>9</v>
      </c>
      <c r="O294" t="s">
        <v>39</v>
      </c>
      <c r="P294" s="5">
        <v>2429</v>
      </c>
      <c r="Q294" s="3">
        <v>144</v>
      </c>
    </row>
    <row r="295" spans="13:17" x14ac:dyDescent="0.25">
      <c r="M295" t="s">
        <v>11</v>
      </c>
      <c r="N295" t="s">
        <v>14</v>
      </c>
      <c r="O295" t="s">
        <v>18</v>
      </c>
      <c r="P295" s="5">
        <v>2142</v>
      </c>
      <c r="Q295" s="3">
        <v>114</v>
      </c>
    </row>
    <row r="296" spans="13:17" x14ac:dyDescent="0.25">
      <c r="M296" t="s">
        <v>23</v>
      </c>
      <c r="N296" t="s">
        <v>6</v>
      </c>
      <c r="O296" t="s">
        <v>7</v>
      </c>
      <c r="P296" s="5">
        <v>6454</v>
      </c>
      <c r="Q296" s="3">
        <v>54</v>
      </c>
    </row>
    <row r="297" spans="13:17" x14ac:dyDescent="0.25">
      <c r="M297" t="s">
        <v>23</v>
      </c>
      <c r="N297" t="s">
        <v>6</v>
      </c>
      <c r="O297" t="s">
        <v>29</v>
      </c>
      <c r="P297" s="5">
        <v>4487</v>
      </c>
      <c r="Q297" s="3">
        <v>333</v>
      </c>
    </row>
    <row r="298" spans="13:17" x14ac:dyDescent="0.25">
      <c r="M298" t="s">
        <v>27</v>
      </c>
      <c r="N298" t="s">
        <v>6</v>
      </c>
      <c r="O298" t="s">
        <v>12</v>
      </c>
      <c r="P298" s="5">
        <v>938</v>
      </c>
      <c r="Q298" s="3">
        <v>366</v>
      </c>
    </row>
    <row r="299" spans="13:17" x14ac:dyDescent="0.25">
      <c r="M299" t="s">
        <v>27</v>
      </c>
      <c r="N299" t="s">
        <v>20</v>
      </c>
      <c r="O299" t="s">
        <v>42</v>
      </c>
      <c r="P299" s="5">
        <v>8841</v>
      </c>
      <c r="Q299" s="3">
        <v>303</v>
      </c>
    </row>
    <row r="300" spans="13:17" x14ac:dyDescent="0.25">
      <c r="M300" t="s">
        <v>26</v>
      </c>
      <c r="N300" t="s">
        <v>17</v>
      </c>
      <c r="O300" t="s">
        <v>19</v>
      </c>
      <c r="P300" s="5">
        <v>4018</v>
      </c>
      <c r="Q300" s="3">
        <v>126</v>
      </c>
    </row>
    <row r="301" spans="13:17" x14ac:dyDescent="0.25">
      <c r="M301" t="s">
        <v>13</v>
      </c>
      <c r="N301" t="s">
        <v>6</v>
      </c>
      <c r="O301" t="s">
        <v>37</v>
      </c>
      <c r="P301" s="5">
        <v>714</v>
      </c>
      <c r="Q301" s="3">
        <v>231</v>
      </c>
    </row>
    <row r="302" spans="13:17" x14ac:dyDescent="0.25">
      <c r="M302" t="s">
        <v>11</v>
      </c>
      <c r="N302" t="s">
        <v>20</v>
      </c>
      <c r="O302" t="s">
        <v>18</v>
      </c>
      <c r="P302" s="5">
        <v>3850</v>
      </c>
      <c r="Q302" s="3">
        <v>102</v>
      </c>
    </row>
  </sheetData>
  <mergeCells count="1">
    <mergeCell ref="A1:XFD1"/>
  </mergeCell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4157A-D8C5-4338-8FFA-F72FD40D58A6}">
  <dimension ref="B1:H15"/>
  <sheetViews>
    <sheetView zoomScale="150" zoomScaleNormal="150" workbookViewId="0">
      <selection activeCell="J15" sqref="J15"/>
    </sheetView>
  </sheetViews>
  <sheetFormatPr defaultRowHeight="15" x14ac:dyDescent="0.25"/>
  <cols>
    <col min="1" max="1" width="10.42578125" customWidth="1"/>
    <col min="2" max="2" width="14" bestFit="1" customWidth="1"/>
    <col min="3" max="3" width="23.85546875" customWidth="1"/>
    <col min="4" max="4" width="4.7109375" customWidth="1"/>
    <col min="5" max="5" width="0.140625" customWidth="1"/>
    <col min="6" max="6" width="4.7109375" customWidth="1"/>
    <col min="7" max="7" width="15.7109375" bestFit="1" customWidth="1"/>
    <col min="8" max="8" width="21.85546875" customWidth="1"/>
  </cols>
  <sheetData>
    <row r="1" spans="2:8" ht="32.1" customHeight="1" x14ac:dyDescent="0.6">
      <c r="B1" s="29" t="s">
        <v>82</v>
      </c>
      <c r="C1" s="30"/>
      <c r="D1" s="30"/>
      <c r="E1" s="30"/>
      <c r="F1" s="30"/>
      <c r="G1" s="30"/>
      <c r="H1" s="30"/>
    </row>
    <row r="2" spans="2:8" x14ac:dyDescent="0.25">
      <c r="B2" s="10" t="s">
        <v>52</v>
      </c>
      <c r="C2" t="s">
        <v>54</v>
      </c>
      <c r="G2" s="10" t="s">
        <v>52</v>
      </c>
      <c r="H2" t="s">
        <v>54</v>
      </c>
    </row>
    <row r="3" spans="2:8" x14ac:dyDescent="0.25">
      <c r="B3" s="11" t="s">
        <v>20</v>
      </c>
      <c r="C3" s="5"/>
      <c r="G3" s="11" t="s">
        <v>20</v>
      </c>
      <c r="H3" s="5"/>
    </row>
    <row r="4" spans="2:8" x14ac:dyDescent="0.25">
      <c r="B4" s="12" t="s">
        <v>25</v>
      </c>
      <c r="C4" s="5">
        <v>25221</v>
      </c>
      <c r="G4" s="12" t="s">
        <v>13</v>
      </c>
      <c r="H4" s="5">
        <v>6069</v>
      </c>
    </row>
    <row r="5" spans="2:8" x14ac:dyDescent="0.25">
      <c r="B5" s="11" t="s">
        <v>14</v>
      </c>
      <c r="C5" s="5"/>
      <c r="G5" s="11" t="s">
        <v>14</v>
      </c>
      <c r="H5" s="5"/>
    </row>
    <row r="6" spans="2:8" x14ac:dyDescent="0.25">
      <c r="B6" s="12" t="s">
        <v>25</v>
      </c>
      <c r="C6" s="5">
        <v>39620</v>
      </c>
      <c r="G6" s="12" t="s">
        <v>8</v>
      </c>
      <c r="H6" s="5">
        <v>5019</v>
      </c>
    </row>
    <row r="7" spans="2:8" x14ac:dyDescent="0.25">
      <c r="B7" s="11" t="s">
        <v>30</v>
      </c>
      <c r="C7" s="5"/>
      <c r="G7" s="11" t="s">
        <v>30</v>
      </c>
      <c r="H7" s="5"/>
    </row>
    <row r="8" spans="2:8" x14ac:dyDescent="0.25">
      <c r="B8" s="12" t="s">
        <v>25</v>
      </c>
      <c r="C8" s="5">
        <v>41559</v>
      </c>
      <c r="G8" s="12" t="s">
        <v>8</v>
      </c>
      <c r="H8" s="5">
        <v>5516</v>
      </c>
    </row>
    <row r="9" spans="2:8" x14ac:dyDescent="0.25">
      <c r="B9" s="11" t="s">
        <v>6</v>
      </c>
      <c r="C9" s="5"/>
      <c r="G9" s="11" t="s">
        <v>6</v>
      </c>
      <c r="H9" s="5"/>
    </row>
    <row r="10" spans="2:8" x14ac:dyDescent="0.25">
      <c r="B10" s="12" t="s">
        <v>23</v>
      </c>
      <c r="C10" s="5">
        <v>43568</v>
      </c>
      <c r="G10" s="12" t="s">
        <v>35</v>
      </c>
      <c r="H10" s="5">
        <v>7987</v>
      </c>
    </row>
    <row r="11" spans="2:8" x14ac:dyDescent="0.25">
      <c r="B11" s="11" t="s">
        <v>17</v>
      </c>
      <c r="C11" s="5"/>
      <c r="G11" s="11" t="s">
        <v>17</v>
      </c>
      <c r="H11" s="5"/>
    </row>
    <row r="12" spans="2:8" x14ac:dyDescent="0.25">
      <c r="B12" s="12" t="s">
        <v>26</v>
      </c>
      <c r="C12" s="5">
        <v>45752</v>
      </c>
      <c r="G12" s="12" t="s">
        <v>13</v>
      </c>
      <c r="H12" s="5">
        <v>3976</v>
      </c>
    </row>
    <row r="13" spans="2:8" x14ac:dyDescent="0.25">
      <c r="B13" s="11" t="s">
        <v>9</v>
      </c>
      <c r="C13" s="5"/>
      <c r="G13" s="11" t="s">
        <v>9</v>
      </c>
      <c r="H13" s="5"/>
    </row>
    <row r="14" spans="2:8" x14ac:dyDescent="0.25">
      <c r="B14" s="12" t="s">
        <v>5</v>
      </c>
      <c r="C14" s="5">
        <v>38325</v>
      </c>
      <c r="G14" s="12" t="s">
        <v>26</v>
      </c>
      <c r="H14" s="5">
        <v>2142</v>
      </c>
    </row>
    <row r="15" spans="2:8" x14ac:dyDescent="0.25">
      <c r="B15" s="11" t="s">
        <v>53</v>
      </c>
      <c r="C15" s="5">
        <v>234045</v>
      </c>
      <c r="G15" s="11" t="s">
        <v>53</v>
      </c>
      <c r="H15" s="5">
        <v>30709</v>
      </c>
    </row>
  </sheetData>
  <mergeCells count="1">
    <mergeCell ref="B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20AD5-2CBB-4C4C-AC87-1916966090FE}">
  <dimension ref="B1:F25"/>
  <sheetViews>
    <sheetView workbookViewId="0">
      <selection activeCell="K1" sqref="K1"/>
    </sheetView>
  </sheetViews>
  <sheetFormatPr defaultRowHeight="15" x14ac:dyDescent="0.25"/>
  <cols>
    <col min="1" max="1" width="36.5703125" customWidth="1"/>
    <col min="2" max="3" width="21.42578125" customWidth="1"/>
    <col min="4" max="4" width="10.28515625" bestFit="1" customWidth="1"/>
    <col min="5" max="5" width="15.140625" customWidth="1"/>
    <col min="6" max="6" width="25.85546875" customWidth="1"/>
  </cols>
  <sheetData>
    <row r="1" spans="2:6" ht="30" x14ac:dyDescent="0.45">
      <c r="B1" s="31" t="s">
        <v>83</v>
      </c>
      <c r="C1" s="25"/>
      <c r="D1" s="25"/>
      <c r="E1" s="25"/>
      <c r="F1" s="25"/>
    </row>
    <row r="2" spans="2:6" x14ac:dyDescent="0.25">
      <c r="B2" s="10" t="s">
        <v>52</v>
      </c>
      <c r="C2" t="s">
        <v>64</v>
      </c>
    </row>
    <row r="3" spans="2:6" x14ac:dyDescent="0.25">
      <c r="B3" s="11" t="s">
        <v>24</v>
      </c>
      <c r="C3">
        <v>19525.600000000002</v>
      </c>
    </row>
    <row r="4" spans="2:6" x14ac:dyDescent="0.25">
      <c r="B4" s="11" t="s">
        <v>7</v>
      </c>
      <c r="C4">
        <v>25899.020000000011</v>
      </c>
    </row>
    <row r="5" spans="2:6" x14ac:dyDescent="0.25">
      <c r="B5" s="11" t="s">
        <v>38</v>
      </c>
      <c r="C5">
        <v>30189.32</v>
      </c>
    </row>
    <row r="6" spans="2:6" x14ac:dyDescent="0.25">
      <c r="B6" s="11" t="s">
        <v>36</v>
      </c>
      <c r="C6">
        <v>29800.160000000003</v>
      </c>
    </row>
    <row r="7" spans="2:6" x14ac:dyDescent="0.25">
      <c r="B7" s="11" t="s">
        <v>22</v>
      </c>
      <c r="C7">
        <v>46234.960000000006</v>
      </c>
    </row>
    <row r="8" spans="2:6" x14ac:dyDescent="0.25">
      <c r="B8" s="11" t="s">
        <v>12</v>
      </c>
      <c r="C8">
        <v>14946.919999999998</v>
      </c>
    </row>
    <row r="9" spans="2:6" x14ac:dyDescent="0.25">
      <c r="B9" s="11" t="s">
        <v>42</v>
      </c>
      <c r="C9">
        <v>58277.8</v>
      </c>
    </row>
    <row r="10" spans="2:6" x14ac:dyDescent="0.25">
      <c r="B10" s="11" t="s">
        <v>40</v>
      </c>
      <c r="C10">
        <v>39084.340000000004</v>
      </c>
    </row>
    <row r="11" spans="2:6" x14ac:dyDescent="0.25">
      <c r="B11" s="11" t="s">
        <v>10</v>
      </c>
      <c r="C11">
        <v>52063.35</v>
      </c>
    </row>
    <row r="12" spans="2:6" x14ac:dyDescent="0.25">
      <c r="B12" s="11" t="s">
        <v>15</v>
      </c>
      <c r="C12">
        <v>40814.559999999998</v>
      </c>
    </row>
    <row r="13" spans="2:6" x14ac:dyDescent="0.25">
      <c r="B13" s="11" t="s">
        <v>28</v>
      </c>
      <c r="C13">
        <v>56471.590000000004</v>
      </c>
    </row>
    <row r="14" spans="2:6" x14ac:dyDescent="0.25">
      <c r="B14" s="11" t="s">
        <v>34</v>
      </c>
      <c r="C14">
        <v>44884.12</v>
      </c>
    </row>
    <row r="15" spans="2:6" x14ac:dyDescent="0.25">
      <c r="B15" s="11" t="s">
        <v>32</v>
      </c>
      <c r="C15">
        <v>36700.840000000004</v>
      </c>
    </row>
    <row r="16" spans="2:6" x14ac:dyDescent="0.25">
      <c r="B16" s="11" t="s">
        <v>31</v>
      </c>
      <c r="C16">
        <v>29721.27</v>
      </c>
    </row>
    <row r="17" spans="2:3" x14ac:dyDescent="0.25">
      <c r="B17" s="11" t="s">
        <v>29</v>
      </c>
      <c r="C17">
        <v>43177.340000000004</v>
      </c>
    </row>
    <row r="18" spans="2:3" x14ac:dyDescent="0.25">
      <c r="B18" s="11" t="s">
        <v>33</v>
      </c>
      <c r="C18">
        <v>31390.480000000003</v>
      </c>
    </row>
    <row r="19" spans="2:3" x14ac:dyDescent="0.25">
      <c r="B19" s="11" t="s">
        <v>39</v>
      </c>
      <c r="C19">
        <v>19572.14</v>
      </c>
    </row>
    <row r="20" spans="2:3" x14ac:dyDescent="0.25">
      <c r="B20" s="11" t="s">
        <v>19</v>
      </c>
      <c r="C20">
        <v>46226.020000000004</v>
      </c>
    </row>
    <row r="21" spans="2:3" x14ac:dyDescent="0.25">
      <c r="B21" s="11" t="s">
        <v>37</v>
      </c>
      <c r="C21">
        <v>50988.91</v>
      </c>
    </row>
    <row r="22" spans="2:3" x14ac:dyDescent="0.25">
      <c r="B22" s="11" t="s">
        <v>21</v>
      </c>
      <c r="C22">
        <v>29518.43</v>
      </c>
    </row>
    <row r="23" spans="2:3" x14ac:dyDescent="0.25">
      <c r="B23" s="11" t="s">
        <v>41</v>
      </c>
      <c r="C23">
        <v>26000</v>
      </c>
    </row>
    <row r="24" spans="2:3" x14ac:dyDescent="0.25">
      <c r="B24" s="11" t="s">
        <v>18</v>
      </c>
      <c r="C24">
        <v>29678.099999999995</v>
      </c>
    </row>
    <row r="25" spans="2:3" x14ac:dyDescent="0.25">
      <c r="B25" s="11" t="s">
        <v>53</v>
      </c>
      <c r="C25">
        <v>801165.2699999999</v>
      </c>
    </row>
  </sheetData>
  <mergeCells count="1">
    <mergeCell ref="B1:F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1A578-27AE-4699-8D1A-704BF5B41A43}">
  <dimension ref="B1:U16"/>
  <sheetViews>
    <sheetView zoomScale="110" zoomScaleNormal="110" workbookViewId="0">
      <selection activeCell="A19" sqref="A19"/>
    </sheetView>
  </sheetViews>
  <sheetFormatPr defaultRowHeight="15" x14ac:dyDescent="0.25"/>
  <cols>
    <col min="9" max="9" width="25.5703125" customWidth="1"/>
    <col min="10" max="10" width="11.5703125" customWidth="1"/>
    <col min="11" max="11" width="11.85546875" customWidth="1"/>
    <col min="12" max="12" width="9.28515625" customWidth="1"/>
    <col min="15" max="15" width="13.28515625" customWidth="1"/>
    <col min="17" max="17" width="12.42578125" customWidth="1"/>
  </cols>
  <sheetData>
    <row r="1" spans="2:21" ht="51" x14ac:dyDescent="0.8">
      <c r="B1" s="24" t="s">
        <v>84</v>
      </c>
      <c r="C1" s="25"/>
      <c r="D1" s="25"/>
      <c r="E1" s="25"/>
      <c r="F1" s="25"/>
      <c r="G1" s="25"/>
      <c r="H1" s="25"/>
      <c r="I1" s="25"/>
      <c r="J1" s="25"/>
      <c r="K1" s="25"/>
      <c r="L1" s="25"/>
      <c r="M1" s="25"/>
      <c r="N1" s="25"/>
    </row>
    <row r="2" spans="2:21" ht="18.75" x14ac:dyDescent="0.3">
      <c r="B2" s="33" t="s">
        <v>65</v>
      </c>
      <c r="C2" s="33"/>
      <c r="D2" s="18" t="s">
        <v>30</v>
      </c>
    </row>
    <row r="3" spans="2:21" x14ac:dyDescent="0.25">
      <c r="U3" t="s">
        <v>66</v>
      </c>
    </row>
    <row r="4" spans="2:21" ht="21" x14ac:dyDescent="0.35">
      <c r="B4" s="34" t="s">
        <v>67</v>
      </c>
      <c r="C4" s="34"/>
      <c r="D4" s="34"/>
      <c r="E4" s="34"/>
      <c r="F4" s="34"/>
      <c r="G4" s="34"/>
      <c r="I4" s="34" t="s">
        <v>68</v>
      </c>
      <c r="J4" s="35"/>
      <c r="K4" s="35"/>
      <c r="L4" s="35"/>
      <c r="M4" s="35"/>
      <c r="N4" s="35"/>
      <c r="T4" t="s">
        <v>30</v>
      </c>
    </row>
    <row r="5" spans="2:21" x14ac:dyDescent="0.25">
      <c r="P5" s="36" t="s">
        <v>26</v>
      </c>
      <c r="Q5" s="36"/>
      <c r="T5" t="s">
        <v>14</v>
      </c>
    </row>
    <row r="6" spans="2:21" ht="18.75" x14ac:dyDescent="0.3">
      <c r="D6" s="32" t="s">
        <v>72</v>
      </c>
      <c r="E6" s="32"/>
      <c r="F6" s="32"/>
      <c r="G6" s="21">
        <f>COUNTIF(Data[Geography],D2)</f>
        <v>58</v>
      </c>
      <c r="I6" s="22" t="s">
        <v>0</v>
      </c>
      <c r="J6" s="20" t="s">
        <v>3</v>
      </c>
      <c r="K6" s="20" t="s">
        <v>4</v>
      </c>
      <c r="L6" s="20"/>
      <c r="P6" s="36" t="s">
        <v>8</v>
      </c>
      <c r="Q6" s="36"/>
      <c r="T6" t="s">
        <v>9</v>
      </c>
    </row>
    <row r="7" spans="2:21" x14ac:dyDescent="0.25">
      <c r="I7" t="s">
        <v>26</v>
      </c>
      <c r="J7" s="5">
        <f>SUMIFS(Data[Amount],Data[Sales Person],I7,Data[Geography],D$2)</f>
        <v>7763</v>
      </c>
      <c r="K7">
        <f>SUMIFS(Data[Units],Data[Sales Person],$I7,Data[Geography],$D$2)</f>
        <v>174</v>
      </c>
      <c r="L7" s="17">
        <f>IF(J7&gt;12000,1,-1)</f>
        <v>-1</v>
      </c>
      <c r="P7" s="36" t="s">
        <v>13</v>
      </c>
      <c r="Q7" s="36"/>
      <c r="T7" t="s">
        <v>20</v>
      </c>
    </row>
    <row r="8" spans="2:21" x14ac:dyDescent="0.25">
      <c r="D8" s="19"/>
      <c r="E8" s="19"/>
      <c r="F8" s="20" t="s">
        <v>73</v>
      </c>
      <c r="G8" s="20" t="s">
        <v>43</v>
      </c>
      <c r="I8" t="s">
        <v>8</v>
      </c>
      <c r="J8" s="5">
        <f>SUMIFS(Data[Amount],Data[Sales Person],I8,Data[Geography],D$2)</f>
        <v>5516</v>
      </c>
      <c r="K8">
        <f>SUMIFS(Data[Units],Data[Sales Person],$I8,Data[Geography],$D$2)</f>
        <v>507</v>
      </c>
      <c r="L8" s="17">
        <f t="shared" ref="L8:L16" si="0">IF(J8&gt;12000,1,-1)</f>
        <v>-1</v>
      </c>
      <c r="P8" s="36" t="s">
        <v>23</v>
      </c>
      <c r="Q8" s="36"/>
      <c r="T8" t="s">
        <v>17</v>
      </c>
    </row>
    <row r="9" spans="2:21" x14ac:dyDescent="0.25">
      <c r="B9" s="1"/>
      <c r="D9" s="1" t="s">
        <v>69</v>
      </c>
      <c r="F9">
        <f>SUMIFS(Data[Amount],Data[Geography],D$2)</f>
        <v>252469</v>
      </c>
      <c r="G9" s="7">
        <f>AVERAGEIFS(Data[Amount],Data[Geography],D2)</f>
        <v>4352.9137931034484</v>
      </c>
      <c r="I9" t="s">
        <v>13</v>
      </c>
      <c r="J9" s="5">
        <f>SUMIFS(Data[Amount],Data[Sales Person],I9,Data[Geography],D$2)</f>
        <v>15855</v>
      </c>
      <c r="K9">
        <f>SUMIFS(Data[Units],Data[Sales Person],$I9,Data[Geography],$D$2)</f>
        <v>708</v>
      </c>
      <c r="L9" s="17">
        <f t="shared" si="0"/>
        <v>1</v>
      </c>
      <c r="P9" s="36" t="s">
        <v>16</v>
      </c>
      <c r="Q9" s="36"/>
      <c r="T9" t="s">
        <v>6</v>
      </c>
    </row>
    <row r="10" spans="2:21" x14ac:dyDescent="0.25">
      <c r="B10" s="1"/>
      <c r="D10" s="1" t="s">
        <v>70</v>
      </c>
      <c r="F10">
        <f>SUMIFS(Data[[Cost ]], Data[Geography],D2)</f>
        <v>80681.400000000038</v>
      </c>
      <c r="G10" s="7">
        <f>AVERAGEIFS(Data[[Cost ]],Data[Geography],D2)</f>
        <v>1391.0586206896558</v>
      </c>
      <c r="I10" t="s">
        <v>23</v>
      </c>
      <c r="J10" s="5">
        <f>SUMIFS(Data[Amount],Data[Sales Person],I10,Data[Geography],D$2)</f>
        <v>31661</v>
      </c>
      <c r="K10">
        <f>SUMIFS(Data[Units],Data[Sales Person],$I10,Data[Geography],$D$2)</f>
        <v>978</v>
      </c>
      <c r="L10" s="17">
        <f t="shared" si="0"/>
        <v>1</v>
      </c>
      <c r="P10" s="36" t="s">
        <v>25</v>
      </c>
      <c r="Q10" s="36"/>
    </row>
    <row r="11" spans="2:21" x14ac:dyDescent="0.25">
      <c r="B11" s="1"/>
      <c r="D11" s="1" t="s">
        <v>63</v>
      </c>
      <c r="F11" s="7">
        <f>F9-F10</f>
        <v>171787.59999999998</v>
      </c>
      <c r="G11" s="7">
        <f>G9-G10</f>
        <v>2961.8551724137924</v>
      </c>
      <c r="I11" t="s">
        <v>16</v>
      </c>
      <c r="J11" s="5">
        <f>SUMIFS(Data[Amount],Data[Sales Person],I11,Data[Geography],D$2)</f>
        <v>33670</v>
      </c>
      <c r="K11">
        <f>SUMIFS(Data[Units],Data[Sales Person],$I11,Data[Geography],$D$2)</f>
        <v>1515</v>
      </c>
      <c r="L11" s="17">
        <f t="shared" si="0"/>
        <v>1</v>
      </c>
      <c r="P11" s="36" t="s">
        <v>27</v>
      </c>
      <c r="Q11" s="36"/>
    </row>
    <row r="12" spans="2:21" x14ac:dyDescent="0.25">
      <c r="B12" s="1"/>
      <c r="D12" s="1" t="s">
        <v>71</v>
      </c>
      <c r="F12">
        <f>SUMIFS(Data[Units],Data[Geography],D2)</f>
        <v>8760</v>
      </c>
      <c r="G12" s="7">
        <f>AVERAGEIFS(Data[Units],Data[Geography],D2)</f>
        <v>151.0344827586207</v>
      </c>
      <c r="I12" t="s">
        <v>25</v>
      </c>
      <c r="J12" s="5">
        <f>SUMIFS(Data[Amount],Data[Sales Person],I12,Data[Geography],D$2)</f>
        <v>41559</v>
      </c>
      <c r="K12">
        <f>SUMIFS(Data[Units],Data[Sales Person],$I12,Data[Geography],$D$2)</f>
        <v>1188</v>
      </c>
      <c r="L12" s="17">
        <f t="shared" si="0"/>
        <v>1</v>
      </c>
      <c r="P12" s="36" t="s">
        <v>11</v>
      </c>
      <c r="Q12" s="36"/>
    </row>
    <row r="13" spans="2:21" x14ac:dyDescent="0.25">
      <c r="I13" t="s">
        <v>27</v>
      </c>
      <c r="J13" s="5">
        <f>SUMIFS(Data[Amount],Data[Sales Person],I13,Data[Geography],D$2)</f>
        <v>35847</v>
      </c>
      <c r="K13">
        <f>SUMIFS(Data[Units],Data[Sales Person],$I13,Data[Geography],$D$2)</f>
        <v>1416</v>
      </c>
      <c r="L13" s="17">
        <f t="shared" si="0"/>
        <v>1</v>
      </c>
      <c r="P13" s="36" t="s">
        <v>35</v>
      </c>
      <c r="Q13" s="36"/>
    </row>
    <row r="14" spans="2:21" x14ac:dyDescent="0.25">
      <c r="I14" t="s">
        <v>11</v>
      </c>
      <c r="J14" s="5">
        <f>SUMIFS(Data[Amount],Data[Sales Person],I14,Data[Geography],D$2)</f>
        <v>39424</v>
      </c>
      <c r="K14">
        <f>SUMIFS(Data[Units],Data[Sales Person],$I14,Data[Geography],$D$2)</f>
        <v>1122</v>
      </c>
      <c r="L14" s="17">
        <f t="shared" si="0"/>
        <v>1</v>
      </c>
      <c r="P14" s="36" t="s">
        <v>5</v>
      </c>
      <c r="Q14" s="36"/>
    </row>
    <row r="15" spans="2:21" x14ac:dyDescent="0.25">
      <c r="I15" t="s">
        <v>35</v>
      </c>
      <c r="J15" s="5">
        <f>SUMIFS(Data[Amount],Data[Sales Person],I15,Data[Geography],D$2)</f>
        <v>16527</v>
      </c>
      <c r="K15">
        <f>SUMIFS(Data[Units],Data[Sales Person],$I15,Data[Geography],$D$2)</f>
        <v>417</v>
      </c>
      <c r="L15" s="17">
        <f t="shared" si="0"/>
        <v>1</v>
      </c>
    </row>
    <row r="16" spans="2:21" x14ac:dyDescent="0.25">
      <c r="I16" t="s">
        <v>5</v>
      </c>
      <c r="J16" s="5">
        <f>SUMIFS(Data[Amount],Data[Sales Person],I16,Data[Geography],D$2)</f>
        <v>24647</v>
      </c>
      <c r="K16">
        <f>SUMIFS(Data[Units],Data[Sales Person],$I16,Data[Geography],$D$2)</f>
        <v>735</v>
      </c>
      <c r="L16" s="17">
        <f t="shared" si="0"/>
        <v>1</v>
      </c>
    </row>
  </sheetData>
  <mergeCells count="15">
    <mergeCell ref="P11:Q11"/>
    <mergeCell ref="P12:Q12"/>
    <mergeCell ref="P13:Q13"/>
    <mergeCell ref="P14:Q14"/>
    <mergeCell ref="P5:Q5"/>
    <mergeCell ref="P6:Q6"/>
    <mergeCell ref="P7:Q7"/>
    <mergeCell ref="P8:Q8"/>
    <mergeCell ref="P9:Q9"/>
    <mergeCell ref="P10:Q10"/>
    <mergeCell ref="D6:F6"/>
    <mergeCell ref="B2:C2"/>
    <mergeCell ref="B4:G4"/>
    <mergeCell ref="I4:N4"/>
    <mergeCell ref="B1:N1"/>
  </mergeCells>
  <conditionalFormatting sqref="J7:J16">
    <cfRule type="dataBar" priority="2">
      <dataBar>
        <cfvo type="min"/>
        <cfvo type="max"/>
        <color rgb="FFFFB628"/>
      </dataBar>
      <extLst>
        <ext xmlns:x14="http://schemas.microsoft.com/office/spreadsheetml/2009/9/main" uri="{B025F937-C7B1-47D3-B67F-A62EFF666E3E}">
          <x14:id>{D3D4F475-F8EC-4F32-8D44-C567E83585FD}</x14:id>
        </ext>
      </extLst>
    </cfRule>
  </conditionalFormatting>
  <dataValidations count="1">
    <dataValidation type="list" allowBlank="1" showInputMessage="1" showErrorMessage="1" sqref="D2" xr:uid="{88781A76-4DB7-4592-9DF2-39255835E313}">
      <formula1>$T$4:$T$9</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3D4F475-F8EC-4F32-8D44-C567E83585FD}">
            <x14:dataBar minLength="0" maxLength="100" gradient="0">
              <x14:cfvo type="autoMin"/>
              <x14:cfvo type="autoMax"/>
              <x14:negativeFillColor rgb="FFFF0000"/>
              <x14:axisColor rgb="FF000000"/>
            </x14:dataBar>
          </x14:cfRule>
          <xm:sqref>J7:J16</xm:sqref>
        </x14:conditionalFormatting>
        <x14:conditionalFormatting xmlns:xm="http://schemas.microsoft.com/office/excel/2006/main">
          <x14:cfRule type="iconSet" priority="1" id="{4701467C-4E13-4470-B7B7-90F286BD0CBB}">
            <x14:iconSet iconSet="3Symbols" showValue="0" custom="1">
              <x14:cfvo type="percent">
                <xm:f>0</xm:f>
              </x14:cfvo>
              <x14:cfvo type="num">
                <xm:f>0</xm:f>
              </x14:cfvo>
              <x14:cfvo type="num">
                <xm:f>1</xm:f>
              </x14:cfvo>
              <x14:cfIcon iconSet="3Symbols" iconId="0"/>
              <x14:cfIcon iconSet="NoIcons" iconId="0"/>
              <x14:cfIcon iconSet="3Symbols" iconId="2"/>
            </x14:iconSet>
          </x14:cfRule>
          <xm:sqref>L7:L16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0EBB9-F86A-477A-BD9C-48E339BABAC9}">
  <dimension ref="B1:I23"/>
  <sheetViews>
    <sheetView tabSelected="1" zoomScale="73" zoomScaleNormal="90" workbookViewId="0">
      <selection activeCell="B2" sqref="B2"/>
    </sheetView>
  </sheetViews>
  <sheetFormatPr defaultRowHeight="15" x14ac:dyDescent="0.25"/>
  <cols>
    <col min="1" max="1" width="32" customWidth="1"/>
    <col min="2" max="2" width="19.28515625" bestFit="1" customWidth="1"/>
    <col min="3" max="3" width="14" bestFit="1" customWidth="1"/>
    <col min="4" max="4" width="11.42578125" bestFit="1" customWidth="1"/>
    <col min="5" max="5" width="10.28515625" bestFit="1" customWidth="1"/>
    <col min="6" max="6" width="15.42578125" bestFit="1" customWidth="1"/>
    <col min="9" max="9" width="36.42578125" customWidth="1"/>
  </cols>
  <sheetData>
    <row r="1" spans="2:9" ht="51" x14ac:dyDescent="0.8">
      <c r="B1" s="24" t="s">
        <v>85</v>
      </c>
      <c r="C1" s="25"/>
      <c r="D1" s="25"/>
      <c r="E1" s="25"/>
      <c r="F1" s="25"/>
      <c r="G1" s="25"/>
      <c r="H1" s="25"/>
      <c r="I1" s="25"/>
    </row>
    <row r="2" spans="2:9" x14ac:dyDescent="0.25">
      <c r="B2" s="10" t="s">
        <v>52</v>
      </c>
      <c r="C2" t="s">
        <v>54</v>
      </c>
      <c r="D2" t="s">
        <v>56</v>
      </c>
      <c r="E2" t="s">
        <v>61</v>
      </c>
      <c r="F2" t="s">
        <v>74</v>
      </c>
    </row>
    <row r="3" spans="2:9" x14ac:dyDescent="0.25">
      <c r="B3" s="11" t="s">
        <v>12</v>
      </c>
      <c r="C3">
        <v>1197</v>
      </c>
      <c r="D3">
        <v>573</v>
      </c>
      <c r="E3" s="9">
        <v>-5610.24</v>
      </c>
      <c r="F3" s="23">
        <v>-4.6869172932330825</v>
      </c>
    </row>
    <row r="4" spans="2:9" x14ac:dyDescent="0.25">
      <c r="B4" s="11" t="s">
        <v>29</v>
      </c>
      <c r="C4">
        <v>6391</v>
      </c>
      <c r="D4">
        <v>738</v>
      </c>
      <c r="E4" s="9">
        <v>-96.019999999999527</v>
      </c>
      <c r="F4" s="23">
        <v>-1.5024252855578082E-2</v>
      </c>
    </row>
    <row r="5" spans="2:9" x14ac:dyDescent="0.25">
      <c r="B5" s="11" t="s">
        <v>41</v>
      </c>
      <c r="C5">
        <v>3612</v>
      </c>
      <c r="D5">
        <v>384</v>
      </c>
      <c r="E5" s="9">
        <v>156</v>
      </c>
      <c r="F5" s="23">
        <v>4.3189368770764118E-2</v>
      </c>
    </row>
    <row r="6" spans="2:9" x14ac:dyDescent="0.25">
      <c r="B6" s="11" t="s">
        <v>7</v>
      </c>
      <c r="C6">
        <v>10206</v>
      </c>
      <c r="D6">
        <v>639</v>
      </c>
      <c r="E6" s="9">
        <v>946.88999999999942</v>
      </c>
      <c r="F6" s="23">
        <v>9.2777777777777806E-2</v>
      </c>
    </row>
    <row r="7" spans="2:9" x14ac:dyDescent="0.25">
      <c r="B7" s="11" t="s">
        <v>40</v>
      </c>
      <c r="C7">
        <v>16842</v>
      </c>
      <c r="D7">
        <v>858</v>
      </c>
      <c r="E7" s="9">
        <v>7935.9599999999991</v>
      </c>
      <c r="F7" s="23">
        <v>0.47120057000356247</v>
      </c>
    </row>
    <row r="8" spans="2:9" x14ac:dyDescent="0.25">
      <c r="B8" s="11" t="s">
        <v>22</v>
      </c>
      <c r="C8">
        <v>12243</v>
      </c>
      <c r="D8">
        <v>477</v>
      </c>
      <c r="E8" s="9">
        <v>7582.7100000000009</v>
      </c>
      <c r="F8" s="23">
        <v>0.61935064935064943</v>
      </c>
    </row>
    <row r="9" spans="2:9" x14ac:dyDescent="0.25">
      <c r="B9" s="11" t="s">
        <v>32</v>
      </c>
      <c r="C9">
        <v>14679</v>
      </c>
      <c r="D9">
        <v>669</v>
      </c>
      <c r="E9" s="9">
        <v>9888.9599999999991</v>
      </c>
      <c r="F9" s="23">
        <v>0.67368076844471692</v>
      </c>
    </row>
    <row r="10" spans="2:9" x14ac:dyDescent="0.25">
      <c r="B10" s="11" t="s">
        <v>24</v>
      </c>
      <c r="C10">
        <v>12656</v>
      </c>
      <c r="D10">
        <v>291</v>
      </c>
      <c r="E10" s="9">
        <v>9251.2999999999993</v>
      </c>
      <c r="F10" s="23">
        <v>0.73098135271807851</v>
      </c>
    </row>
    <row r="11" spans="2:9" x14ac:dyDescent="0.25">
      <c r="B11" s="11" t="s">
        <v>37</v>
      </c>
      <c r="C11">
        <v>13286</v>
      </c>
      <c r="D11">
        <v>303</v>
      </c>
      <c r="E11" s="9">
        <v>9731.81</v>
      </c>
      <c r="F11" s="23">
        <v>0.7324860755682675</v>
      </c>
    </row>
    <row r="12" spans="2:9" x14ac:dyDescent="0.25">
      <c r="B12" s="11" t="s">
        <v>39</v>
      </c>
      <c r="C12">
        <v>6132</v>
      </c>
      <c r="D12">
        <v>93</v>
      </c>
      <c r="E12" s="9">
        <v>4576.1099999999997</v>
      </c>
      <c r="F12" s="23">
        <v>0.7462671232876712</v>
      </c>
    </row>
    <row r="13" spans="2:9" x14ac:dyDescent="0.25">
      <c r="B13" s="11" t="s">
        <v>33</v>
      </c>
      <c r="C13">
        <v>10661</v>
      </c>
      <c r="D13">
        <v>219</v>
      </c>
      <c r="E13" s="9">
        <v>8335.2200000000012</v>
      </c>
      <c r="F13" s="23">
        <v>0.78184222868398834</v>
      </c>
    </row>
    <row r="14" spans="2:9" x14ac:dyDescent="0.25">
      <c r="B14" s="11" t="s">
        <v>36</v>
      </c>
      <c r="C14">
        <v>9702</v>
      </c>
      <c r="D14">
        <v>243</v>
      </c>
      <c r="E14" s="9">
        <v>7845.48</v>
      </c>
      <c r="F14" s="23">
        <v>0.80864564007421158</v>
      </c>
    </row>
    <row r="15" spans="2:9" x14ac:dyDescent="0.25">
      <c r="B15" s="11" t="s">
        <v>18</v>
      </c>
      <c r="C15">
        <v>13118</v>
      </c>
      <c r="D15">
        <v>177</v>
      </c>
      <c r="E15" s="9">
        <v>10790.45</v>
      </c>
      <c r="F15" s="23">
        <v>0.82256822686385123</v>
      </c>
    </row>
    <row r="16" spans="2:9" x14ac:dyDescent="0.25">
      <c r="B16" s="11" t="s">
        <v>34</v>
      </c>
      <c r="C16">
        <v>12369</v>
      </c>
      <c r="D16">
        <v>312</v>
      </c>
      <c r="E16" s="9">
        <v>10344.119999999999</v>
      </c>
      <c r="F16" s="23">
        <v>0.83629396070822226</v>
      </c>
    </row>
    <row r="17" spans="2:6" x14ac:dyDescent="0.25">
      <c r="B17" s="11" t="s">
        <v>15</v>
      </c>
      <c r="C17">
        <v>13076</v>
      </c>
      <c r="D17">
        <v>240</v>
      </c>
      <c r="E17" s="9">
        <v>11523.2</v>
      </c>
      <c r="F17" s="23">
        <v>0.88124808810033639</v>
      </c>
    </row>
    <row r="18" spans="2:6" x14ac:dyDescent="0.25">
      <c r="B18" s="11" t="s">
        <v>42</v>
      </c>
      <c r="C18">
        <v>23583</v>
      </c>
      <c r="D18">
        <v>474</v>
      </c>
      <c r="E18" s="9">
        <v>20928.599999999999</v>
      </c>
      <c r="F18" s="23">
        <v>0.88744434550311657</v>
      </c>
    </row>
    <row r="19" spans="2:6" x14ac:dyDescent="0.25">
      <c r="B19" s="11" t="s">
        <v>21</v>
      </c>
      <c r="C19">
        <v>7875</v>
      </c>
      <c r="D19">
        <v>135</v>
      </c>
      <c r="E19" s="9">
        <v>7093.35</v>
      </c>
      <c r="F19" s="23">
        <v>0.90074285714285718</v>
      </c>
    </row>
    <row r="20" spans="2:6" x14ac:dyDescent="0.25">
      <c r="B20" s="11" t="s">
        <v>19</v>
      </c>
      <c r="C20">
        <v>6391</v>
      </c>
      <c r="D20">
        <v>48</v>
      </c>
      <c r="E20" s="9">
        <v>5797.24</v>
      </c>
      <c r="F20" s="23">
        <v>0.90709435143170081</v>
      </c>
    </row>
    <row r="21" spans="2:6" x14ac:dyDescent="0.25">
      <c r="B21" s="11" t="s">
        <v>38</v>
      </c>
      <c r="C21">
        <v>6398</v>
      </c>
      <c r="D21">
        <v>102</v>
      </c>
      <c r="E21" s="9">
        <v>5891.06</v>
      </c>
      <c r="F21" s="23">
        <v>0.92076586433260399</v>
      </c>
    </row>
    <row r="22" spans="2:6" x14ac:dyDescent="0.25">
      <c r="B22" s="11" t="s">
        <v>28</v>
      </c>
      <c r="C22">
        <v>18396</v>
      </c>
      <c r="D22">
        <v>456</v>
      </c>
      <c r="E22" s="9">
        <v>16977.84</v>
      </c>
      <c r="F22" s="23">
        <v>0.92290932811480753</v>
      </c>
    </row>
    <row r="23" spans="2:6" x14ac:dyDescent="0.25">
      <c r="B23" s="11" t="s">
        <v>53</v>
      </c>
      <c r="C23">
        <v>218813</v>
      </c>
      <c r="D23">
        <v>7431</v>
      </c>
      <c r="E23" s="9">
        <v>149890.03999999998</v>
      </c>
      <c r="F23" s="23">
        <v>0.68501432730230838</v>
      </c>
    </row>
  </sheetData>
  <mergeCells count="1">
    <mergeCell ref="B1:I1"/>
  </mergeCells>
  <conditionalFormatting pivot="1" sqref="F3:F23">
    <cfRule type="colorScale" priority="2">
      <colorScale>
        <cfvo type="min"/>
        <cfvo type="max"/>
        <color rgb="FFFCFCFF"/>
        <color rgb="FF63BE7B"/>
      </colorScale>
    </cfRule>
  </conditionalFormatting>
  <conditionalFormatting pivot="1" sqref="F4:F22">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149243-DDD8-4EC1-84D6-7F669F1B4C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data1</vt:lpstr>
      <vt:lpstr>data2</vt:lpstr>
      <vt:lpstr>data3</vt:lpstr>
      <vt:lpstr>data4</vt:lpstr>
      <vt:lpstr>data5</vt:lpstr>
      <vt:lpstr>data6</vt:lpstr>
      <vt:lpstr>data7</vt:lpstr>
      <vt:lpstr>data 8</vt:lpstr>
      <vt:lpstr>data9</vt:lpstr>
      <vt:lpstr>data10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Fhariq .</dc:creator>
  <cp:lastModifiedBy>Fhariq .</cp:lastModifiedBy>
  <dcterms:created xsi:type="dcterms:W3CDTF">2025-02-18T12:12:20Z</dcterms:created>
  <dcterms:modified xsi:type="dcterms:W3CDTF">2026-06-21T12:33:42Z</dcterms:modified>
</cp:coreProperties>
</file>